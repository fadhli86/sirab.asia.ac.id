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ingkasan" sheetId="1" state="visible" r:id="rId3"/>
    <sheet name="pfr" sheetId="2" state="visible" r:id="rId4"/>
    <sheet name="pkpt" sheetId="3" state="visible" r:id="rId5"/>
    <sheet name="katalis" sheetId="4" state="visible" r:id="rId6"/>
    <sheet name="terapan" sheetId="5" state="visible" r:id="rId7"/>
    <sheet name="rikub" sheetId="6" state="visible" r:id="rId8"/>
    <sheet name="bestari" sheetId="7" state="visible" r:id="rId9"/>
    <sheet name="brin_riim" sheetId="8" state="visible" r:id="rId10"/>
    <sheet name="brin_degree" sheetId="9" state="visible" r:id="rId11"/>
    <sheet name="default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<sst xmlns="http://schemas.openxmlformats.org/spreadsheetml/2006/main" count="828" uniqueCount="123">
  <si>
    <t xml:space="preserve">SISTEM RAB HIBAH — RINGKASAN SEMUA SKEMA</t>
  </si>
  <si>
    <t xml:space="preserve">Prodi Teknik Informatika – ITB Asia Malang</t>
  </si>
  <si>
    <t xml:space="preserve">No</t>
  </si>
  <si>
    <t xml:space="preserve">Skema Hibah</t>
  </si>
  <si>
    <t xml:space="preserve">Sumber</t>
  </si>
  <si>
    <t xml:space="preserve">Dana Contoh (Rp)</t>
  </si>
  <si>
    <t xml:space="preserve">Pagu Maks (Rp)</t>
  </si>
  <si>
    <t xml:space="preserve">Honor Maks</t>
  </si>
  <si>
    <t xml:space="preserve">Aset Maks</t>
  </si>
  <si>
    <t xml:space="preserve">Penelitian Fundamental Reguler (PFR)</t>
  </si>
  <si>
    <t xml:space="preserve">Kemdiktisaintek (DPPM)</t>
  </si>
  <si>
    <t xml:space="preserve">Penelitian Kerja Sama antar PT (PKPT)</t>
  </si>
  <si>
    <t xml:space="preserve">Kolaborasi Penelitian Strategis (KATALIS)</t>
  </si>
  <si>
    <t xml:space="preserve">Penelitian Terapan (Luaran Model/Produk)</t>
  </si>
  <si>
    <t xml:space="preserve">Riset Kolaborasi Unggulan Berdampak (RIKUB)</t>
  </si>
  <si>
    <t xml:space="preserve">BESTARI Saintek (LPDP)</t>
  </si>
  <si>
    <t xml:space="preserve">Kemdiktisaintek – LPDP</t>
  </si>
  <si>
    <t xml:space="preserve">BRIN – RIIM (Riset &amp; Inovasi untuk Indonesia Maju)</t>
  </si>
  <si>
    <t xml:space="preserve">BRIN</t>
  </si>
  <si>
    <t xml:space="preserve">BRIN – Research Assistantship / Degree by Research</t>
  </si>
  <si>
    <t xml:space="preserve">Skema Umum / Hibah Lainnya (Template Default)</t>
  </si>
  <si>
    <t xml:space="preserve">Umum</t>
  </si>
  <si>
    <t xml:space="preserve">Setiap skema memiliki lembar (tab) RAB detail tersendiri. Tab 'default' adalah template untuk hibah yang belum terdaftar — isi manual, formula jumlah otomatis.</t>
  </si>
  <si>
    <t xml:space="preserve">RENCANA ANGGARAN BIAYA (RAB) PENELITIAN</t>
  </si>
  <si>
    <t xml:space="preserve">Kemdiktisaintek (DPPM)  |  Penelitian Dasar · TKT 1–3  |  Durasi 1–2 tahun</t>
  </si>
  <si>
    <t xml:space="preserve">Program Studi</t>
  </si>
  <si>
    <t xml:space="preserve">Teknik Informatika – ITB Asia Malang</t>
  </si>
  <si>
    <t xml:space="preserve">Nama Ketua Peneliti</t>
  </si>
  <si>
    <t xml:space="preserve">................................</t>
  </si>
  <si>
    <t xml:space="preserve">Total Dana Diusulkan</t>
  </si>
  <si>
    <t xml:space="preserve">Pagu Skema</t>
  </si>
  <si>
    <t xml:space="preserve">Rp 20,000,000 – Rp 150,000,000</t>
  </si>
  <si>
    <t xml:space="preserve">Uraian / Komponen Biaya</t>
  </si>
  <si>
    <t xml:space="preserve">Vol</t>
  </si>
  <si>
    <t xml:space="preserve">Sat</t>
  </si>
  <si>
    <t xml:space="preserve">Vol2</t>
  </si>
  <si>
    <t xml:space="preserve">Sat2</t>
  </si>
  <si>
    <t xml:space="preserve">Harga Satuan (Rp)</t>
  </si>
  <si>
    <t xml:space="preserve">Jumlah (Rp)</t>
  </si>
  <si>
    <t xml:space="preserve">1. Honorarium (tim &amp; tenaga penunjang)   [HABIS PAKAI]</t>
  </si>
  <si>
    <t xml:space="preserve">Honorarium ketua peneliti</t>
  </si>
  <si>
    <t xml:space="preserve">org</t>
  </si>
  <si>
    <t xml:space="preserve">OB</t>
  </si>
  <si>
    <t xml:space="preserve">Honorarium anggota peneliti</t>
  </si>
  <si>
    <t xml:space="preserve">Honorarium pengolah data</t>
  </si>
  <si>
    <t xml:space="preserve">keg</t>
  </si>
  <si>
    <t xml:space="preserve">Honorarium pembantu lapangan</t>
  </si>
  <si>
    <t xml:space="preserve">OH</t>
  </si>
  <si>
    <t xml:space="preserve">Subtotal 1. Honorarium (tim &amp; tenaga penunjang)</t>
  </si>
  <si>
    <t xml:space="preserve">2. Belanja Bahan Penelitian   [HABIS PAKAI]</t>
  </si>
  <si>
    <t xml:space="preserve">Bahan habis pakai / reagen / komponen</t>
  </si>
  <si>
    <t xml:space="preserve">paket</t>
  </si>
  <si>
    <t xml:space="preserve">-</t>
  </si>
  <si>
    <t xml:space="preserve">Alat tulis kantor &amp; pencetakan</t>
  </si>
  <si>
    <t xml:space="preserve">Lisensi perangkat lunak / cloud</t>
  </si>
  <si>
    <t xml:space="preserve">Subtotal 2. Belanja Bahan Penelitian</t>
  </si>
  <si>
    <t xml:space="preserve">3. Pengumpulan &amp; Analisis Data   [HABIS PAKAI]</t>
  </si>
  <si>
    <t xml:space="preserve">Honor petugas survei / enumerator</t>
  </si>
  <si>
    <t xml:space="preserve">Transkripsi &amp; entri data</t>
  </si>
  <si>
    <t xml:space="preserve">Analisis statistik / uji laboratorium</t>
  </si>
  <si>
    <t xml:space="preserve">sampel</t>
  </si>
  <si>
    <t xml:space="preserve">Subtotal 3. Pengumpulan &amp; Analisis Data</t>
  </si>
  <si>
    <t xml:space="preserve">4. Perjalanan Dinas   [HABIS PAKAI]</t>
  </si>
  <si>
    <t xml:space="preserve">Transport pengumpulan data (lokal)</t>
  </si>
  <si>
    <t xml:space="preserve">Perjalanan diseminasi / seminar hasil</t>
  </si>
  <si>
    <t xml:space="preserve">OK</t>
  </si>
  <si>
    <t xml:space="preserve">Subtotal 4. Perjalanan Dinas</t>
  </si>
  <si>
    <t xml:space="preserve">5. Sewa Peralatan / Laboratorium   [HABIS PAKAI]</t>
  </si>
  <si>
    <t xml:space="preserve">Sewa peralatan / instrumen</t>
  </si>
  <si>
    <t xml:space="preserve">bulan</t>
  </si>
  <si>
    <t xml:space="preserve">Sewa ruang / laboratorium</t>
  </si>
  <si>
    <t xml:space="preserve">Subtotal 5. Sewa Peralatan / Laboratorium</t>
  </si>
  <si>
    <t xml:space="preserve">6. Peralatan Penunjang (Aset / Tidak Habis Pakai)   [TIDAK HABIS PAKAI (ASET)]</t>
  </si>
  <si>
    <t xml:space="preserve">Peralatan penunjang riset (aset)</t>
  </si>
  <si>
    <t xml:space="preserve">unit</t>
  </si>
  <si>
    <t xml:space="preserve">Subtotal 6. Peralatan Penunjang (Aset / Tidak Habis Pakai)</t>
  </si>
  <si>
    <t xml:space="preserve">7. Pelaporan, Luaran &amp; Publikasi   [HABIS PAKAI]</t>
  </si>
  <si>
    <t xml:space="preserve">Biaya publikasi jurnal (APC) / prosiding</t>
  </si>
  <si>
    <t xml:space="preserve">artikel</t>
  </si>
  <si>
    <t xml:space="preserve">Penggandaan &amp; penjilidan laporan</t>
  </si>
  <si>
    <t xml:space="preserve">eks</t>
  </si>
  <si>
    <t xml:space="preserve">Luaran wajib (HKI / produk)</t>
  </si>
  <si>
    <t xml:space="preserve">Subtotal 7. Pelaporan, Luaran &amp; Publikasi</t>
  </si>
  <si>
    <t xml:space="preserve">TOTAL RENCANA ANGGARAN BIAYA</t>
  </si>
  <si>
    <t xml:space="preserve">Rekapitulasi Sifat Belanja</t>
  </si>
  <si>
    <t xml:space="preserve">Dana Habis Pakai (consumable)</t>
  </si>
  <si>
    <t xml:space="preserve">Dana Tidak Habis Pakai (aset)</t>
  </si>
  <si>
    <t xml:space="preserve">Dasar &amp; Ketentuan:</t>
  </si>
  <si>
    <t xml:space="preserve">• Ketua min. Lektor &amp; memiliki kepakaran. Luaran: artikel jurnal internasional bereputasi.</t>
  </si>
  <si>
    <t xml:space="preserve">• Batas honorarium tim pelaksana: maks 25% dari total dana (Kemdiktisaintek/SBM Kemenkeu TA 2026; diterapkan pada revisi RAB proposal lolos).</t>
  </si>
  <si>
    <t xml:space="preserve">• Ambang peralatan/aset (tidak habis pakai): maks 30%. Perjalanan: maks 30%.</t>
  </si>
  <si>
    <t xml:space="preserve">• Tarif honor mengacu SBM 2026 (acuan). Verifikasi PMK SBM &amp; panduan BIMA terbaru sebelum submit.</t>
  </si>
  <si>
    <t xml:space="preserve">Rp 50,000,000 – Rp 150,000,000</t>
  </si>
  <si>
    <t xml:space="preserve">• Kolaborasi TPP &amp; TPM dari PT berbeda. Penguatan kapasitas riset mitra.</t>
  </si>
  <si>
    <t xml:space="preserve">• Ambang peralatan/aset (tidak habis pakai): maks 30%. Perjalanan: maks 35%.</t>
  </si>
  <si>
    <t xml:space="preserve">Kemdiktisaintek (DPPM)  |  Penelitian Dasar · TKT 1–3  |  Durasi 2–3 tahun</t>
  </si>
  <si>
    <t xml:space="preserve">Rp 100,000,000 – Rp 500,000,000</t>
  </si>
  <si>
    <t xml:space="preserve">• Konsorsium strategis, pendanaan besar, luaran berdampak tinggi.</t>
  </si>
  <si>
    <t xml:space="preserve">• Ambang peralatan/aset (tidak habis pakai): maks 35%. Perjalanan: maks 30%.</t>
  </si>
  <si>
    <t xml:space="preserve">Kemdiktisaintek (DPPM)  |  Penelitian Terapan · TKT 4–6  |  Durasi 1–3 tahun</t>
  </si>
  <si>
    <t xml:space="preserve">Rp 50,000,000 – Rp 250,000,000</t>
  </si>
  <si>
    <t xml:space="preserve">• Luaran prototipe/produk. Wajib mitra &amp; keterlibatan calon pengguna.</t>
  </si>
  <si>
    <t xml:space="preserve">• Ambang peralatan/aset (tidak habis pakai): maks 40%. Perjalanan: maks 30%.</t>
  </si>
  <si>
    <t xml:space="preserve">Kemdiktisaintek (DPPM)  |  Penelitian Terapan · TKT 4–7  |  Durasi 2–3 tahun</t>
  </si>
  <si>
    <t xml:space="preserve">Rp 200,000,000 – Rp 700,000,000</t>
  </si>
  <si>
    <t xml:space="preserve">• Konsorsium 2–5 tim beda PT + mitra industri. Orientasi hilirisasi.</t>
  </si>
  <si>
    <t xml:space="preserve">• Ambang peralatan/aset (tidak habis pakai): maks 40%. Perjalanan: maks 25%.</t>
  </si>
  <si>
    <t xml:space="preserve">Kemdiktisaintek – LPDP  |  Terapan berbasis potensi daerah  |  Durasi ≤ 12 bulan</t>
  </si>
  <si>
    <t xml:space="preserve">Rp 250,000,000 – Rp 750,000,000</t>
  </si>
  <si>
    <t xml:space="preserve">• Biaya langsung personil maks 30%. Kolaborasi mitra eksternal &amp; potensi daerah.</t>
  </si>
  <si>
    <t xml:space="preserve">• Batas honorarium tim pelaksana: maks 30% dari total dana (Kemdiktisaintek/SBM Kemenkeu TA 2026; diterapkan pada revisi RAB proposal lolos).</t>
  </si>
  <si>
    <t xml:space="preserve">BRIN  |  Kompetitif / Ekspedisi  |  Durasi 1–3 tahun</t>
  </si>
  <si>
    <t xml:space="preserve">Rp 100,000,000 – Rp 2,000,000,000</t>
  </si>
  <si>
    <t xml:space="preserve">• Skema kompetitif BRIN. Belanja mengacu SBK/SBM Kemenkeu. Peralatan lab besar dimungkinkan.</t>
  </si>
  <si>
    <t xml:space="preserve">• Ambang peralatan/aset (tidak habis pakai): maks 45%. Perjalanan: maks 25%.</t>
  </si>
  <si>
    <t xml:space="preserve">BRIN  |  Riset berbasis SDM  |  Durasi 1–2 tahun</t>
  </si>
  <si>
    <t xml:space="preserve">Rp 50,000,000 – Rp 300,000,000</t>
  </si>
  <si>
    <t xml:space="preserve">• Dominan honor asisten riset &amp; operasional. Bobot personil relatif tinggi.</t>
  </si>
  <si>
    <t xml:space="preserve">• Batas honorarium tim pelaksana: maks 35% dari total dana (Kemdiktisaintek/SBM Kemenkeu TA 2026; diterapkan pada revisi RAB proposal lolos).</t>
  </si>
  <si>
    <t xml:space="preserve">• Ambang peralatan/aset (tidak habis pakai): maks 25%. Perjalanan: maks 25%.</t>
  </si>
  <si>
    <t xml:space="preserve">Umum  |  Menyesuaikan panduan hibah terkait  |  Durasi menyesuaikan</t>
  </si>
  <si>
    <t xml:space="preserve">Rp 0 – Rp 1,000,000,000</t>
  </si>
  <si>
    <t xml:space="preserve">• Template default untuk hibah yang belum tersedia parameternya. Batas mengikuti kaidah umum: honor ≤25%, aset ≤35%, perjalanan ≤30%. Sesuaikan dengan panduan resmi hibah yang dituju.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</si>
</sst>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0.0%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1B5E4F"/>
      <name val="Arial"/>
      <family val="0"/>
      <charset val="1"/>
    </font>
    <font>
      <sz val="10"/>
      <color rgb="FF6B6252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color rgb="FF2A241C"/>
      <name val="Arial"/>
      <family val="0"/>
      <charset val="1"/>
    </font>
    <font>
      <sz val="8"/>
      <color rgb="FF6B6252"/>
      <name val="Arial"/>
      <family val="0"/>
      <charset val="1"/>
    </font>
    <font>
      <b val="true"/>
      <sz val="14"/>
      <color rgb="FF1B5E4F"/>
      <name val="Arial"/>
      <family val="0"/>
      <charset val="1"/>
    </font>
    <font>
      <b val="true"/>
      <sz val="11"/>
      <color rgb="FF2A241C"/>
      <name val="Arial"/>
      <family val="0"/>
      <charset val="1"/>
    </font>
    <font>
      <sz val="9"/>
      <color rgb="FF6B6252"/>
      <name val="Arial"/>
      <family val="0"/>
      <charset val="1"/>
    </font>
    <font>
      <b val="true"/>
      <sz val="9"/>
      <color rgb="FF2A241C"/>
      <name val="Arial"/>
      <family val="0"/>
      <charset val="1"/>
    </font>
    <font>
      <b val="true"/>
      <sz val="11"/>
      <color rgb="FF7A3E1D"/>
      <name val="Arial"/>
      <family val="0"/>
      <charset val="1"/>
    </font>
    <font>
      <b val="true"/>
      <sz val="10"/>
      <color rgb="FF1B5E4F"/>
      <name val="Arial"/>
      <family val="0"/>
      <charset val="1"/>
    </font>
    <font>
      <b val="true"/>
      <sz val="10"/>
      <color rgb="FF7A3E1D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9"/>
      <color rgb="FF7A3E1D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B5E4F"/>
        <bgColor rgb="FF008080"/>
      </patternFill>
    </fill>
    <fill>
      <patternFill patternType="solid">
        <fgColor rgb="FFF7F4EC"/>
        <bgColor rgb="FFF3EEE3"/>
      </patternFill>
    </fill>
    <fill>
      <patternFill patternType="solid">
        <fgColor rgb="FFF3EEE3"/>
        <bgColor rgb="FFEFEFE9"/>
      </patternFill>
    </fill>
    <fill>
      <patternFill patternType="solid">
        <fgColor rgb="FFEFEFE9"/>
        <bgColor rgb="FFF3EEE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BFA9"/>
      </left>
      <right style="thin">
        <color rgb="FFC9BFA9"/>
      </right>
      <top style="thin">
        <color rgb="FFC9BFA9"/>
      </top>
      <bottom style="thin">
        <color rgb="FFC9BFA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2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B5E4F"/>
      <rgbColor rgb="FFC9BFA9"/>
      <rgbColor rgb="FF808080"/>
      <rgbColor rgb="FF9999FF"/>
      <rgbColor rgb="FF993366"/>
      <rgbColor rgb="FFF7F4EC"/>
      <rgbColor rgb="FFEFEFE9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F3EEE3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6252"/>
      <rgbColor rgb="FF969696"/>
      <rgbColor rgb="FF003366"/>
      <rgbColor rgb="FF339966"/>
      <rgbColor rgb="FF003300"/>
      <rgbColor rgb="FF333300"/>
      <rgbColor rgb="FF7A3E1D"/>
      <rgbColor rgb="FF993366"/>
      <rgbColor rgb="FF333399"/>
      <rgbColor rgb="FF2A241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6"/>
    <col collapsed="false" customWidth="true" hidden="false" outlineLevel="0" max="3" min="3" style="0" width="22"/>
    <col collapsed="false" customWidth="true" hidden="false" outlineLevel="0" max="4" min="4" style="0" width="18"/>
    <col collapsed="false" customWidth="true" hidden="false" outlineLevel="0" max="5" min="5" style="0" width="16"/>
    <col collapsed="false" customWidth="true" hidden="false" outlineLevel="0" max="7" min="6" style="0" width="14"/>
  </cols>
  <sheetData>
    <row r="1" customFormat="false" ht="18.55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5" hidden="false" customHeight="true" outlineLevel="0" collapsed="false">
      <c r="A2" s="2" t="s">
        <v>1</v>
      </c>
      <c r="B2" s="2"/>
      <c r="C2" s="2"/>
      <c r="D2" s="2"/>
      <c r="E2" s="2"/>
      <c r="F2" s="2"/>
      <c r="G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customFormat="false" ht="15" hidden="false" customHeight="false" outlineLevel="0" collapsed="false">
      <c r="A5" s="4" t="n">
        <v>1</v>
      </c>
      <c r="B5" s="5" t="s">
        <v>9</v>
      </c>
      <c r="C5" s="5" t="s">
        <v>10</v>
      </c>
      <c r="D5" s="6" t="n">
        <v>150000000</v>
      </c>
      <c r="E5" s="6" t="n">
        <v>150000000</v>
      </c>
      <c r="F5" s="7" t="n">
        <v>0.25</v>
      </c>
      <c r="G5" s="7" t="n">
        <v>0.3</v>
      </c>
    </row>
    <row r="6" customFormat="false" ht="15" hidden="false" customHeight="false" outlineLevel="0" collapsed="false">
      <c r="A6" s="8" t="n">
        <v>2</v>
      </c>
      <c r="B6" s="9" t="s">
        <v>11</v>
      </c>
      <c r="C6" s="9" t="s">
        <v>10</v>
      </c>
      <c r="D6" s="10" t="n">
        <v>150000000</v>
      </c>
      <c r="E6" s="10" t="n">
        <v>150000000</v>
      </c>
      <c r="F6" s="11" t="n">
        <v>0.25</v>
      </c>
      <c r="G6" s="11" t="n">
        <v>0.3</v>
      </c>
    </row>
    <row r="7" customFormat="false" ht="15" hidden="false" customHeight="false" outlineLevel="0" collapsed="false">
      <c r="A7" s="4" t="n">
        <v>3</v>
      </c>
      <c r="B7" s="5" t="s">
        <v>12</v>
      </c>
      <c r="C7" s="5" t="s">
        <v>10</v>
      </c>
      <c r="D7" s="6" t="n">
        <v>500000000</v>
      </c>
      <c r="E7" s="6" t="n">
        <v>500000000</v>
      </c>
      <c r="F7" s="7" t="n">
        <v>0.25</v>
      </c>
      <c r="G7" s="7" t="n">
        <v>0.35</v>
      </c>
    </row>
    <row r="8" customFormat="false" ht="15" hidden="false" customHeight="false" outlineLevel="0" collapsed="false">
      <c r="A8" s="8" t="n">
        <v>4</v>
      </c>
      <c r="B8" s="9" t="s">
        <v>13</v>
      </c>
      <c r="C8" s="9" t="s">
        <v>10</v>
      </c>
      <c r="D8" s="10" t="n">
        <v>250000000</v>
      </c>
      <c r="E8" s="10" t="n">
        <v>250000000</v>
      </c>
      <c r="F8" s="11" t="n">
        <v>0.25</v>
      </c>
      <c r="G8" s="11" t="n">
        <v>0.4</v>
      </c>
    </row>
    <row r="9" customFormat="false" ht="15" hidden="false" customHeight="false" outlineLevel="0" collapsed="false">
      <c r="A9" s="4" t="n">
        <v>5</v>
      </c>
      <c r="B9" s="5" t="s">
        <v>14</v>
      </c>
      <c r="C9" s="5" t="s">
        <v>10</v>
      </c>
      <c r="D9" s="6" t="n">
        <v>700000000</v>
      </c>
      <c r="E9" s="6" t="n">
        <v>700000000</v>
      </c>
      <c r="F9" s="7" t="n">
        <v>0.25</v>
      </c>
      <c r="G9" s="7" t="n">
        <v>0.4</v>
      </c>
    </row>
    <row r="10" customFormat="false" ht="15" hidden="false" customHeight="false" outlineLevel="0" collapsed="false">
      <c r="A10" s="8" t="n">
        <v>6</v>
      </c>
      <c r="B10" s="9" t="s">
        <v>15</v>
      </c>
      <c r="C10" s="9" t="s">
        <v>16</v>
      </c>
      <c r="D10" s="10" t="n">
        <v>750000000</v>
      </c>
      <c r="E10" s="10" t="n">
        <v>750000000</v>
      </c>
      <c r="F10" s="11" t="n">
        <v>0.3</v>
      </c>
      <c r="G10" s="11" t="n">
        <v>0.4</v>
      </c>
    </row>
    <row r="11" customFormat="false" ht="15" hidden="false" customHeight="false" outlineLevel="0" collapsed="false">
      <c r="A11" s="4" t="n">
        <v>7</v>
      </c>
      <c r="B11" s="5" t="s">
        <v>17</v>
      </c>
      <c r="C11" s="5" t="s">
        <v>18</v>
      </c>
      <c r="D11" s="6" t="n">
        <v>500000000</v>
      </c>
      <c r="E11" s="6" t="n">
        <v>2000000000</v>
      </c>
      <c r="F11" s="7" t="n">
        <v>0.25</v>
      </c>
      <c r="G11" s="7" t="n">
        <v>0.45</v>
      </c>
    </row>
    <row r="12" customFormat="false" ht="15" hidden="false" customHeight="false" outlineLevel="0" collapsed="false">
      <c r="A12" s="8" t="n">
        <v>8</v>
      </c>
      <c r="B12" s="9" t="s">
        <v>19</v>
      </c>
      <c r="C12" s="9" t="s">
        <v>18</v>
      </c>
      <c r="D12" s="10" t="n">
        <v>300000000</v>
      </c>
      <c r="E12" s="10" t="n">
        <v>300000000</v>
      </c>
      <c r="F12" s="11" t="n">
        <v>0.35</v>
      </c>
      <c r="G12" s="11" t="n">
        <v>0.25</v>
      </c>
    </row>
    <row r="13" customFormat="false" ht="15" hidden="false" customHeight="false" outlineLevel="0" collapsed="false">
      <c r="A13" s="4" t="n">
        <v>9</v>
      </c>
      <c r="B13" s="5" t="s">
        <v>20</v>
      </c>
      <c r="C13" s="5" t="s">
        <v>21</v>
      </c>
      <c r="D13" s="6" t="n">
        <v>100000000</v>
      </c>
      <c r="E13" s="6" t="n">
        <v>1000000000</v>
      </c>
      <c r="F13" s="7" t="n">
        <v>0.25</v>
      </c>
      <c r="G13" s="7" t="n">
        <v>0.35</v>
      </c>
    </row>
    <row r="15" customFormat="false" ht="15" hidden="false" customHeight="true" outlineLevel="0" collapsed="false">
      <c r="A15" s="12" t="s">
        <v>22</v>
      </c>
      <c r="B15" s="12"/>
      <c r="C15" s="12"/>
      <c r="D15" s="12"/>
      <c r="E15" s="12"/>
      <c r="F15" s="12"/>
      <c r="G15" s="12"/>
    </row>
  </sheetData>
  <mergeCells count="3">
    <mergeCell ref="A1:G1"/>
    <mergeCell ref="A2:G2"/>
    <mergeCell ref="A15:G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5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4"/>
    <col collapsed="false" customWidth="true" hidden="false" outlineLevel="0" max="3" min="3" style="0" width="7"/>
    <col collapsed="false" customWidth="true" hidden="false" outlineLevel="0" max="4" min="4" style="0" width="8"/>
    <col collapsed="false" customWidth="true" hidden="false" outlineLevel="0" max="5" min="5" style="0" width="7"/>
    <col collapsed="false" customWidth="true" hidden="false" outlineLevel="0" max="6" min="6" style="0" width="8"/>
    <col collapsed="false" customWidth="true" hidden="false" outlineLevel="0" max="7" min="7" style="0" width="15"/>
    <col collapsed="false" customWidth="true" hidden="false" outlineLevel="0" max="8" min="8" style="0" width="17"/>
  </cols>
  <sheetData>
    <row r="1" customFormat="false" ht="17.35" hidden="false" customHeight="true" outlineLevel="0" collapsed="false">
      <c r="A1" s="13" t="s">
        <v>23</v>
      </c>
      <c r="B1" s="13"/>
      <c r="C1" s="13"/>
      <c r="D1" s="13"/>
      <c r="E1" s="13"/>
      <c r="F1" s="13"/>
      <c r="G1" s="13"/>
      <c r="H1" s="13"/>
    </row>
    <row r="2" customFormat="false" ht="15" hidden="false" customHeight="true" outlineLevel="0" collapsed="false">
      <c r="A2" s="14" t="s">
        <v>9</v>
      </c>
      <c r="B2" s="14"/>
      <c r="C2" s="14"/>
      <c r="D2" s="14"/>
      <c r="E2" s="14"/>
      <c r="F2" s="14"/>
      <c r="G2" s="14"/>
      <c r="H2" s="14"/>
    </row>
    <row r="3" customFormat="false" ht="15" hidden="false" customHeight="true" outlineLevel="0" collapsed="false">
      <c r="A3" s="15" t="s">
        <v>24</v>
      </c>
      <c r="B3" s="15"/>
      <c r="C3" s="15"/>
      <c r="D3" s="15"/>
      <c r="E3" s="15"/>
      <c r="F3" s="15"/>
      <c r="G3" s="15"/>
      <c r="H3" s="15"/>
    </row>
    <row r="5" customFormat="false" ht="15" hidden="false" customHeight="false" outlineLevel="0" collapsed="false">
      <c r="A5" s="16" t="s">
        <v>25</v>
      </c>
      <c r="B5" s="16"/>
      <c r="C5" s="17" t="s">
        <v>26</v>
      </c>
      <c r="D5" s="17"/>
      <c r="E5" s="17"/>
      <c r="F5" s="17"/>
      <c r="G5" s="17"/>
      <c r="H5" s="17"/>
    </row>
    <row r="6" customFormat="false" ht="15" hidden="false" customHeight="false" outlineLevel="0" collapsed="false">
      <c r="A6" s="16" t="s">
        <v>27</v>
      </c>
      <c r="B6" s="16"/>
      <c r="C6" s="17" t="s">
        <v>28</v>
      </c>
      <c r="D6" s="17"/>
      <c r="E6" s="17"/>
      <c r="F6" s="17"/>
      <c r="G6" s="17"/>
      <c r="H6" s="17"/>
    </row>
    <row r="7" customFormat="false" ht="15" hidden="false" customHeight="false" outlineLevel="0" collapsed="false">
      <c r="A7" s="16" t="s">
        <v>29</v>
      </c>
      <c r="B7" s="16"/>
      <c r="C7" s="18" t="n">
        <v>150000000</v>
      </c>
      <c r="D7" s="18"/>
      <c r="E7" s="18"/>
    </row>
    <row r="8" customFormat="false" ht="15" hidden="false" customHeight="false" outlineLevel="0" collapsed="false">
      <c r="A8" s="16" t="s">
        <v>30</v>
      </c>
      <c r="B8" s="16"/>
      <c r="C8" s="17" t="s">
        <v>31</v>
      </c>
      <c r="D8" s="17"/>
      <c r="E8" s="17"/>
      <c r="F8" s="17"/>
      <c r="G8" s="17"/>
      <c r="H8" s="17"/>
    </row>
    <row r="10" customFormat="false" ht="23.85" hidden="false" customHeight="false" outlineLevel="0" collapsed="false">
      <c r="A10" s="3" t="s">
        <v>2</v>
      </c>
      <c r="B10" s="3" t="s">
        <v>32</v>
      </c>
      <c r="C10" s="3" t="s">
        <v>33</v>
      </c>
      <c r="D10" s="3" t="s">
        <v>34</v>
      </c>
      <c r="E10" s="3" t="s">
        <v>35</v>
      </c>
      <c r="F10" s="3" t="s">
        <v>36</v>
      </c>
      <c r="G10" s="3" t="s">
        <v>37</v>
      </c>
      <c r="H10" s="3" t="s">
        <v>38</v>
      </c>
    </row>
    <row r="11" customFormat="false" ht="15" hidden="false" customHeight="true" outlineLevel="0" collapsed="false">
      <c r="A11" s="19" t="s">
        <v>39</v>
      </c>
      <c r="B11" s="19"/>
      <c r="C11" s="19"/>
      <c r="D11" s="19"/>
      <c r="E11" s="19"/>
      <c r="F11" s="19"/>
      <c r="G11" s="20"/>
      <c r="H11" s="20"/>
    </row>
    <row r="12" customFormat="false" ht="15" hidden="false" customHeight="false" outlineLevel="0" collapsed="false">
      <c r="A12" s="4" t="n">
        <v>1</v>
      </c>
      <c r="B12" s="5" t="s">
        <v>40</v>
      </c>
      <c r="C12" s="4" t="n">
        <v>1</v>
      </c>
      <c r="D12" s="4" t="s">
        <v>41</v>
      </c>
      <c r="E12" s="4" t="n">
        <v>8</v>
      </c>
      <c r="F12" s="4" t="s">
        <v>42</v>
      </c>
      <c r="G12" s="6" t="n">
        <v>1020000</v>
      </c>
      <c r="H12" s="6" t="n">
        <f aca="false">C12*IF(E12="",1,E12)*G12</f>
        <v>8160000</v>
      </c>
    </row>
    <row r="13" customFormat="false" ht="15" hidden="false" customHeight="false" outlineLevel="0" collapsed="false">
      <c r="A13" s="4" t="n">
        <v>2</v>
      </c>
      <c r="B13" s="5" t="s">
        <v>43</v>
      </c>
      <c r="C13" s="4" t="n">
        <v>2</v>
      </c>
      <c r="D13" s="4" t="s">
        <v>41</v>
      </c>
      <c r="E13" s="4" t="n">
        <v>8</v>
      </c>
      <c r="F13" s="4" t="s">
        <v>42</v>
      </c>
      <c r="G13" s="6" t="n">
        <v>1020000</v>
      </c>
      <c r="H13" s="6" t="n">
        <f aca="false">C13*IF(E13="",1,E13)*G13</f>
        <v>16320000</v>
      </c>
    </row>
    <row r="14" customFormat="false" ht="15" hidden="false" customHeight="false" outlineLevel="0" collapsed="false">
      <c r="A14" s="4" t="n">
        <v>3</v>
      </c>
      <c r="B14" s="5" t="s">
        <v>44</v>
      </c>
      <c r="C14" s="4" t="n">
        <v>1</v>
      </c>
      <c r="D14" s="4" t="s">
        <v>41</v>
      </c>
      <c r="E14" s="4" t="n">
        <v>1</v>
      </c>
      <c r="F14" s="4" t="s">
        <v>45</v>
      </c>
      <c r="G14" s="6" t="n">
        <v>3741000</v>
      </c>
      <c r="H14" s="6" t="n">
        <f aca="false">C14*IF(E14="",1,E14)*G14</f>
        <v>3741000</v>
      </c>
    </row>
    <row r="15" customFormat="false" ht="15" hidden="false" customHeight="false" outlineLevel="0" collapsed="false">
      <c r="A15" s="4" t="n">
        <v>4</v>
      </c>
      <c r="B15" s="5" t="s">
        <v>46</v>
      </c>
      <c r="C15" s="4" t="n">
        <v>2</v>
      </c>
      <c r="D15" s="4" t="s">
        <v>41</v>
      </c>
      <c r="E15" s="4" t="n">
        <v>20</v>
      </c>
      <c r="F15" s="4" t="s">
        <v>47</v>
      </c>
      <c r="G15" s="6" t="n">
        <v>194475</v>
      </c>
      <c r="H15" s="6" t="n">
        <f aca="false">C15*IF(E15="",1,E15)*G15</f>
        <v>7779000</v>
      </c>
    </row>
    <row r="16" customFormat="false" ht="15" hidden="false" customHeight="false" outlineLevel="0" collapsed="false">
      <c r="A16" s="21" t="s">
        <v>48</v>
      </c>
      <c r="B16" s="21"/>
      <c r="C16" s="21"/>
      <c r="D16" s="21"/>
      <c r="E16" s="21"/>
      <c r="F16" s="21"/>
      <c r="G16" s="21"/>
      <c r="H16" s="22" t="n">
        <f aca="false">SUM(H12:H15)</f>
        <v>36000000</v>
      </c>
    </row>
    <row r="17" customFormat="false" ht="15" hidden="false" customHeight="true" outlineLevel="0" collapsed="false">
      <c r="A17" s="19" t="s">
        <v>49</v>
      </c>
      <c r="B17" s="19"/>
      <c r="C17" s="19"/>
      <c r="D17" s="19"/>
      <c r="E17" s="19"/>
      <c r="F17" s="19"/>
      <c r="G17" s="20"/>
      <c r="H17" s="20"/>
    </row>
    <row r="18" customFormat="false" ht="15" hidden="false" customHeight="false" outlineLevel="0" collapsed="false">
      <c r="A18" s="4" t="n">
        <v>1</v>
      </c>
      <c r="B18" s="5" t="s">
        <v>50</v>
      </c>
      <c r="C18" s="4" t="n">
        <v>1</v>
      </c>
      <c r="D18" s="4" t="s">
        <v>51</v>
      </c>
      <c r="E18" s="4"/>
      <c r="F18" s="4" t="s">
        <v>52</v>
      </c>
      <c r="G18" s="6" t="n">
        <v>14000000</v>
      </c>
      <c r="H18" s="6" t="n">
        <f aca="false">C18*IF(E18="",1,E18)*G18</f>
        <v>14000000</v>
      </c>
    </row>
    <row r="19" customFormat="false" ht="15" hidden="false" customHeight="false" outlineLevel="0" collapsed="false">
      <c r="A19" s="4" t="n">
        <v>2</v>
      </c>
      <c r="B19" s="5" t="s">
        <v>53</v>
      </c>
      <c r="C19" s="4" t="n">
        <v>1</v>
      </c>
      <c r="D19" s="4" t="s">
        <v>51</v>
      </c>
      <c r="E19" s="4"/>
      <c r="F19" s="4" t="s">
        <v>52</v>
      </c>
      <c r="G19" s="6" t="n">
        <v>14000000</v>
      </c>
      <c r="H19" s="6" t="n">
        <f aca="false">C19*IF(E19="",1,E19)*G19</f>
        <v>14000000</v>
      </c>
    </row>
    <row r="20" customFormat="false" ht="15" hidden="false" customHeight="false" outlineLevel="0" collapsed="false">
      <c r="A20" s="4" t="n">
        <v>3</v>
      </c>
      <c r="B20" s="5" t="s">
        <v>54</v>
      </c>
      <c r="C20" s="4" t="n">
        <v>1</v>
      </c>
      <c r="D20" s="4" t="s">
        <v>51</v>
      </c>
      <c r="E20" s="4"/>
      <c r="F20" s="4" t="s">
        <v>52</v>
      </c>
      <c r="G20" s="6" t="n">
        <v>14000000</v>
      </c>
      <c r="H20" s="6" t="n">
        <f aca="false">C20*IF(E20="",1,E20)*G20</f>
        <v>14000000</v>
      </c>
    </row>
    <row r="21" customFormat="false" ht="15" hidden="false" customHeight="false" outlineLevel="0" collapsed="false">
      <c r="A21" s="21" t="s">
        <v>55</v>
      </c>
      <c r="B21" s="21"/>
      <c r="C21" s="21"/>
      <c r="D21" s="21"/>
      <c r="E21" s="21"/>
      <c r="F21" s="21"/>
      <c r="G21" s="21"/>
      <c r="H21" s="22" t="n">
        <f aca="false">SUM(H18:H20)</f>
        <v>42000000</v>
      </c>
    </row>
    <row r="22" customFormat="false" ht="15" hidden="false" customHeight="true" outlineLevel="0" collapsed="false">
      <c r="A22" s="19" t="s">
        <v>56</v>
      </c>
      <c r="B22" s="19"/>
      <c r="C22" s="19"/>
      <c r="D22" s="19"/>
      <c r="E22" s="19"/>
      <c r="F22" s="19"/>
      <c r="G22" s="20"/>
      <c r="H22" s="20"/>
    </row>
    <row r="23" customFormat="false" ht="15" hidden="false" customHeight="false" outlineLevel="0" collapsed="false">
      <c r="A23" s="4" t="n">
        <v>1</v>
      </c>
      <c r="B23" s="5" t="s">
        <v>57</v>
      </c>
      <c r="C23" s="4" t="n">
        <v>1</v>
      </c>
      <c r="D23" s="4" t="s">
        <v>47</v>
      </c>
      <c r="E23" s="4"/>
      <c r="F23" s="4" t="s">
        <v>52</v>
      </c>
      <c r="G23" s="6" t="n">
        <v>7000000</v>
      </c>
      <c r="H23" s="6" t="n">
        <f aca="false">C23*IF(E23="",1,E23)*G23</f>
        <v>7000000</v>
      </c>
    </row>
    <row r="24" customFormat="false" ht="15" hidden="false" customHeight="false" outlineLevel="0" collapsed="false">
      <c r="A24" s="4" t="n">
        <v>2</v>
      </c>
      <c r="B24" s="5" t="s">
        <v>58</v>
      </c>
      <c r="C24" s="4" t="n">
        <v>1</v>
      </c>
      <c r="D24" s="4" t="s">
        <v>51</v>
      </c>
      <c r="E24" s="4"/>
      <c r="F24" s="4" t="s">
        <v>52</v>
      </c>
      <c r="G24" s="6" t="n">
        <v>7000000</v>
      </c>
      <c r="H24" s="6" t="n">
        <f aca="false">C24*IF(E24="",1,E24)*G24</f>
        <v>7000000</v>
      </c>
    </row>
    <row r="25" customFormat="false" ht="15" hidden="false" customHeight="false" outlineLevel="0" collapsed="false">
      <c r="A25" s="4" t="n">
        <v>3</v>
      </c>
      <c r="B25" s="5" t="s">
        <v>59</v>
      </c>
      <c r="C25" s="4" t="n">
        <v>1</v>
      </c>
      <c r="D25" s="4" t="s">
        <v>60</v>
      </c>
      <c r="E25" s="4"/>
      <c r="F25" s="4" t="s">
        <v>52</v>
      </c>
      <c r="G25" s="6" t="n">
        <v>7000000</v>
      </c>
      <c r="H25" s="6" t="n">
        <f aca="false">C25*IF(E25="",1,E25)*G25</f>
        <v>7000000</v>
      </c>
    </row>
    <row r="26" customFormat="false" ht="15" hidden="false" customHeight="false" outlineLevel="0" collapsed="false">
      <c r="A26" s="21" t="s">
        <v>61</v>
      </c>
      <c r="B26" s="21"/>
      <c r="C26" s="21"/>
      <c r="D26" s="21"/>
      <c r="E26" s="21"/>
      <c r="F26" s="21"/>
      <c r="G26" s="21"/>
      <c r="H26" s="22" t="n">
        <f aca="false">SUM(H23:H25)</f>
        <v>21000000</v>
      </c>
    </row>
    <row r="27" customFormat="false" ht="15" hidden="false" customHeight="true" outlineLevel="0" collapsed="false">
      <c r="A27" s="19" t="s">
        <v>62</v>
      </c>
      <c r="B27" s="19"/>
      <c r="C27" s="19"/>
      <c r="D27" s="19"/>
      <c r="E27" s="19"/>
      <c r="F27" s="19"/>
      <c r="G27" s="20"/>
      <c r="H27" s="20"/>
    </row>
    <row r="28" customFormat="false" ht="15" hidden="false" customHeight="false" outlineLevel="0" collapsed="false">
      <c r="A28" s="4" t="n">
        <v>1</v>
      </c>
      <c r="B28" s="5" t="s">
        <v>63</v>
      </c>
      <c r="C28" s="4" t="n">
        <v>1</v>
      </c>
      <c r="D28" s="4" t="s">
        <v>47</v>
      </c>
      <c r="E28" s="4"/>
      <c r="F28" s="4" t="s">
        <v>52</v>
      </c>
      <c r="G28" s="6" t="n">
        <v>9000000</v>
      </c>
      <c r="H28" s="6" t="n">
        <f aca="false">C28*IF(E28="",1,E28)*G28</f>
        <v>9000000</v>
      </c>
    </row>
    <row r="29" customFormat="false" ht="15" hidden="false" customHeight="false" outlineLevel="0" collapsed="false">
      <c r="A29" s="4" t="n">
        <v>2</v>
      </c>
      <c r="B29" s="5" t="s">
        <v>64</v>
      </c>
      <c r="C29" s="4" t="n">
        <v>1</v>
      </c>
      <c r="D29" s="4" t="s">
        <v>65</v>
      </c>
      <c r="E29" s="4"/>
      <c r="F29" s="4" t="s">
        <v>52</v>
      </c>
      <c r="G29" s="6" t="n">
        <v>9000000</v>
      </c>
      <c r="H29" s="6" t="n">
        <f aca="false">C29*IF(E29="",1,E29)*G29</f>
        <v>9000000</v>
      </c>
    </row>
    <row r="30" customFormat="false" ht="15" hidden="false" customHeight="false" outlineLevel="0" collapsed="false">
      <c r="A30" s="21" t="s">
        <v>66</v>
      </c>
      <c r="B30" s="21"/>
      <c r="C30" s="21"/>
      <c r="D30" s="21"/>
      <c r="E30" s="21"/>
      <c r="F30" s="21"/>
      <c r="G30" s="21"/>
      <c r="H30" s="22" t="n">
        <f aca="false">SUM(H28:H29)</f>
        <v>18000000</v>
      </c>
    </row>
    <row r="31" customFormat="false" ht="15" hidden="false" customHeight="true" outlineLevel="0" collapsed="false">
      <c r="A31" s="19" t="s">
        <v>67</v>
      </c>
      <c r="B31" s="19"/>
      <c r="C31" s="19"/>
      <c r="D31" s="19"/>
      <c r="E31" s="19"/>
      <c r="F31" s="19"/>
      <c r="G31" s="20"/>
      <c r="H31" s="20"/>
    </row>
    <row r="32" customFormat="false" ht="15" hidden="false" customHeight="false" outlineLevel="0" collapsed="false">
      <c r="A32" s="4" t="n">
        <v>1</v>
      </c>
      <c r="B32" s="5" t="s">
        <v>68</v>
      </c>
      <c r="C32" s="4" t="n">
        <v>1</v>
      </c>
      <c r="D32" s="4" t="s">
        <v>69</v>
      </c>
      <c r="E32" s="4"/>
      <c r="F32" s="4" t="s">
        <v>52</v>
      </c>
      <c r="G32" s="6" t="n">
        <v>4500000</v>
      </c>
      <c r="H32" s="6" t="n">
        <f aca="false">C32*IF(E32="",1,E32)*G32</f>
        <v>4500000</v>
      </c>
    </row>
    <row r="33" customFormat="false" ht="15" hidden="false" customHeight="false" outlineLevel="0" collapsed="false">
      <c r="A33" s="4" t="n">
        <v>2</v>
      </c>
      <c r="B33" s="5" t="s">
        <v>70</v>
      </c>
      <c r="C33" s="4" t="n">
        <v>1</v>
      </c>
      <c r="D33" s="4" t="s">
        <v>45</v>
      </c>
      <c r="E33" s="4"/>
      <c r="F33" s="4" t="s">
        <v>52</v>
      </c>
      <c r="G33" s="6" t="n">
        <v>4500000</v>
      </c>
      <c r="H33" s="6" t="n">
        <f aca="false">C33*IF(E33="",1,E33)*G33</f>
        <v>4500000</v>
      </c>
    </row>
    <row r="34" customFormat="false" ht="15" hidden="false" customHeight="false" outlineLevel="0" collapsed="false">
      <c r="A34" s="21" t="s">
        <v>71</v>
      </c>
      <c r="B34" s="21"/>
      <c r="C34" s="21"/>
      <c r="D34" s="21"/>
      <c r="E34" s="21"/>
      <c r="F34" s="21"/>
      <c r="G34" s="21"/>
      <c r="H34" s="22" t="n">
        <f aca="false">SUM(H32:H33)</f>
        <v>9000000</v>
      </c>
    </row>
    <row r="35" customFormat="false" ht="15" hidden="false" customHeight="true" outlineLevel="0" collapsed="false">
      <c r="A35" s="23" t="s">
        <v>72</v>
      </c>
      <c r="B35" s="23"/>
      <c r="C35" s="23"/>
      <c r="D35" s="23"/>
      <c r="E35" s="23"/>
      <c r="F35" s="23"/>
      <c r="G35" s="24"/>
      <c r="H35" s="24"/>
    </row>
    <row r="36" customFormat="false" ht="15" hidden="false" customHeight="false" outlineLevel="0" collapsed="false">
      <c r="A36" s="4" t="n">
        <v>1</v>
      </c>
      <c r="B36" s="5" t="s">
        <v>73</v>
      </c>
      <c r="C36" s="4" t="n">
        <v>1</v>
      </c>
      <c r="D36" s="4" t="s">
        <v>74</v>
      </c>
      <c r="E36" s="4"/>
      <c r="F36" s="4" t="s">
        <v>52</v>
      </c>
      <c r="G36" s="6" t="n">
        <v>12000000</v>
      </c>
      <c r="H36" s="6" t="n">
        <f aca="false">C36*IF(E36="",1,E36)*G36</f>
        <v>12000000</v>
      </c>
    </row>
    <row r="37" customFormat="false" ht="15" hidden="false" customHeight="false" outlineLevel="0" collapsed="false">
      <c r="A37" s="21" t="s">
        <v>75</v>
      </c>
      <c r="B37" s="21"/>
      <c r="C37" s="21"/>
      <c r="D37" s="21"/>
      <c r="E37" s="21"/>
      <c r="F37" s="21"/>
      <c r="G37" s="21"/>
      <c r="H37" s="22" t="n">
        <f aca="false">SUM(H36:H36)</f>
        <v>12000000</v>
      </c>
    </row>
    <row r="38" customFormat="false" ht="15" hidden="false" customHeight="true" outlineLevel="0" collapsed="false">
      <c r="A38" s="19" t="s">
        <v>76</v>
      </c>
      <c r="B38" s="19"/>
      <c r="C38" s="19"/>
      <c r="D38" s="19"/>
      <c r="E38" s="19"/>
      <c r="F38" s="19"/>
      <c r="G38" s="20"/>
      <c r="H38" s="20"/>
    </row>
    <row r="39" customFormat="false" ht="15" hidden="false" customHeight="false" outlineLevel="0" collapsed="false">
      <c r="A39" s="4" t="n">
        <v>1</v>
      </c>
      <c r="B39" s="5" t="s">
        <v>77</v>
      </c>
      <c r="C39" s="4" t="n">
        <v>1</v>
      </c>
      <c r="D39" s="4" t="s">
        <v>78</v>
      </c>
      <c r="E39" s="4"/>
      <c r="F39" s="4" t="s">
        <v>52</v>
      </c>
      <c r="G39" s="6" t="n">
        <v>4000000</v>
      </c>
      <c r="H39" s="6" t="n">
        <f aca="false">C39*IF(E39="",1,E39)*G39</f>
        <v>4000000</v>
      </c>
    </row>
    <row r="40" customFormat="false" ht="15" hidden="false" customHeight="false" outlineLevel="0" collapsed="false">
      <c r="A40" s="4" t="n">
        <v>2</v>
      </c>
      <c r="B40" s="5" t="s">
        <v>79</v>
      </c>
      <c r="C40" s="4" t="n">
        <v>1</v>
      </c>
      <c r="D40" s="4" t="s">
        <v>80</v>
      </c>
      <c r="E40" s="4"/>
      <c r="F40" s="4" t="s">
        <v>52</v>
      </c>
      <c r="G40" s="6" t="n">
        <v>4000000</v>
      </c>
      <c r="H40" s="6" t="n">
        <f aca="false">C40*IF(E40="",1,E40)*G40</f>
        <v>4000000</v>
      </c>
    </row>
    <row r="41" customFormat="false" ht="15" hidden="false" customHeight="false" outlineLevel="0" collapsed="false">
      <c r="A41" s="4" t="n">
        <v>3</v>
      </c>
      <c r="B41" s="5" t="s">
        <v>81</v>
      </c>
      <c r="C41" s="4" t="n">
        <v>1</v>
      </c>
      <c r="D41" s="4" t="s">
        <v>51</v>
      </c>
      <c r="E41" s="4"/>
      <c r="F41" s="4" t="s">
        <v>52</v>
      </c>
      <c r="G41" s="6" t="n">
        <v>4000000</v>
      </c>
      <c r="H41" s="6" t="n">
        <f aca="false">C41*IF(E41="",1,E41)*G41</f>
        <v>4000000</v>
      </c>
    </row>
    <row r="42" customFormat="false" ht="15" hidden="false" customHeight="false" outlineLevel="0" collapsed="false">
      <c r="A42" s="21" t="s">
        <v>82</v>
      </c>
      <c r="B42" s="21"/>
      <c r="C42" s="21"/>
      <c r="D42" s="21"/>
      <c r="E42" s="21"/>
      <c r="F42" s="21"/>
      <c r="G42" s="21"/>
      <c r="H42" s="22" t="n">
        <f aca="false">SUM(H39:H41)</f>
        <v>12000000</v>
      </c>
    </row>
    <row r="43" customFormat="false" ht="15" hidden="false" customHeight="false" outlineLevel="0" collapsed="false">
      <c r="A43" s="25" t="s">
        <v>83</v>
      </c>
      <c r="B43" s="25"/>
      <c r="C43" s="25"/>
      <c r="D43" s="25"/>
      <c r="E43" s="25"/>
      <c r="F43" s="25"/>
      <c r="G43" s="25"/>
      <c r="H43" s="26" t="n">
        <f aca="false">H16+H21+H26+H30+H34+H37+H42</f>
        <v>150000000</v>
      </c>
    </row>
    <row r="45" customFormat="false" ht="15" hidden="false" customHeight="false" outlineLevel="0" collapsed="false">
      <c r="B45" s="27" t="s">
        <v>84</v>
      </c>
    </row>
    <row r="46" customFormat="false" ht="15" hidden="false" customHeight="false" outlineLevel="0" collapsed="false">
      <c r="B46" s="28" t="s">
        <v>85</v>
      </c>
      <c r="G46" s="29" t="n">
        <f aca="false">H16+H21+H26+H30+H34+H42</f>
        <v>138000000</v>
      </c>
      <c r="H46" s="30" t="n">
        <f aca="false">IFERROR(G46/H43,"")</f>
        <v>0.92</v>
      </c>
    </row>
    <row r="47" customFormat="false" ht="15" hidden="false" customHeight="false" outlineLevel="0" collapsed="false">
      <c r="B47" s="28" t="s">
        <v>86</v>
      </c>
      <c r="G47" s="29" t="n">
        <f aca="false">H37</f>
        <v>12000000</v>
      </c>
      <c r="H47" s="30" t="n">
        <f aca="false">IFERROR(G47/H43,"")</f>
        <v>0.08</v>
      </c>
    </row>
    <row r="49" customFormat="false" ht="15" hidden="false" customHeight="false" outlineLevel="0" collapsed="false">
      <c r="A49" s="31" t="s">
        <v>87</v>
      </c>
    </row>
    <row r="50" customFormat="false" ht="15" hidden="false" customHeight="true" outlineLevel="0" collapsed="false">
      <c r="A50" s="12" t="s">
        <v>88</v>
      </c>
      <c r="B50" s="12"/>
      <c r="C50" s="12"/>
      <c r="D50" s="12"/>
      <c r="E50" s="12"/>
      <c r="F50" s="12"/>
      <c r="G50" s="12"/>
      <c r="H50" s="12"/>
    </row>
    <row r="51" customFormat="false" ht="15" hidden="false" customHeight="true" outlineLevel="0" collapsed="false">
      <c r="A51" s="12" t="s">
        <v>89</v>
      </c>
      <c r="B51" s="12"/>
      <c r="C51" s="12"/>
      <c r="D51" s="12"/>
      <c r="E51" s="12"/>
      <c r="F51" s="12"/>
      <c r="G51" s="12"/>
      <c r="H51" s="12"/>
    </row>
    <row r="52" customFormat="false" ht="15" hidden="false" customHeight="true" outlineLevel="0" collapsed="false">
      <c r="A52" s="12" t="s">
        <v>90</v>
      </c>
      <c r="B52" s="12"/>
      <c r="C52" s="12"/>
      <c r="D52" s="12"/>
      <c r="E52" s="12"/>
      <c r="F52" s="12"/>
      <c r="G52" s="12"/>
      <c r="H52" s="12"/>
    </row>
    <row r="53" customFormat="false" ht="15" hidden="false" customHeight="true" outlineLevel="0" collapsed="false">
      <c r="A53" s="12" t="s">
        <v>91</v>
      </c>
      <c r="B53" s="12"/>
      <c r="C53" s="12"/>
      <c r="D53" s="12"/>
      <c r="E53" s="12"/>
      <c r="F53" s="12"/>
      <c r="G53" s="12"/>
      <c r="H53" s="12"/>
    </row>
  </sheetData>
  <mergeCells count="30">
    <mergeCell ref="A1:H1"/>
    <mergeCell ref="A2:H2"/>
    <mergeCell ref="A3:H3"/>
    <mergeCell ref="A5:B5"/>
    <mergeCell ref="C5:H5"/>
    <mergeCell ref="A6:B6"/>
    <mergeCell ref="C6:H6"/>
    <mergeCell ref="A7:B7"/>
    <mergeCell ref="C7:E7"/>
    <mergeCell ref="A8:B8"/>
    <mergeCell ref="C8:H8"/>
    <mergeCell ref="A11:F11"/>
    <mergeCell ref="A16:G16"/>
    <mergeCell ref="A17:F17"/>
    <mergeCell ref="A21:G21"/>
    <mergeCell ref="A22:F22"/>
    <mergeCell ref="A26:G26"/>
    <mergeCell ref="A27:F27"/>
    <mergeCell ref="A30:G30"/>
    <mergeCell ref="A31:F31"/>
    <mergeCell ref="A34:G34"/>
    <mergeCell ref="A35:F35"/>
    <mergeCell ref="A37:G37"/>
    <mergeCell ref="A38:F38"/>
    <mergeCell ref="A42:G42"/>
    <mergeCell ref="A43:G43"/>
    <mergeCell ref="A50:H50"/>
    <mergeCell ref="A51:H51"/>
    <mergeCell ref="A52:H52"/>
    <mergeCell ref="A53:H53"/>
  </mergeCells>
  <printOptions headings="false" gridLines="false" gridLinesSet="true" horizontalCentered="tru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5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4"/>
    <col collapsed="false" customWidth="true" hidden="false" outlineLevel="0" max="3" min="3" style="0" width="7"/>
    <col collapsed="false" customWidth="true" hidden="false" outlineLevel="0" max="4" min="4" style="0" width="8"/>
    <col collapsed="false" customWidth="true" hidden="false" outlineLevel="0" max="5" min="5" style="0" width="7"/>
    <col collapsed="false" customWidth="true" hidden="false" outlineLevel="0" max="6" min="6" style="0" width="8"/>
    <col collapsed="false" customWidth="true" hidden="false" outlineLevel="0" max="7" min="7" style="0" width="15"/>
    <col collapsed="false" customWidth="true" hidden="false" outlineLevel="0" max="8" min="8" style="0" width="17"/>
  </cols>
  <sheetData>
    <row r="1" customFormat="false" ht="17.35" hidden="false" customHeight="true" outlineLevel="0" collapsed="false">
      <c r="A1" s="13" t="s">
        <v>23</v>
      </c>
      <c r="B1" s="13"/>
      <c r="C1" s="13"/>
      <c r="D1" s="13"/>
      <c r="E1" s="13"/>
      <c r="F1" s="13"/>
      <c r="G1" s="13"/>
      <c r="H1" s="13"/>
    </row>
    <row r="2" customFormat="false" ht="15" hidden="false" customHeight="true" outlineLevel="0" collapsed="false">
      <c r="A2" s="14" t="s">
        <v>11</v>
      </c>
      <c r="B2" s="14"/>
      <c r="C2" s="14"/>
      <c r="D2" s="14"/>
      <c r="E2" s="14"/>
      <c r="F2" s="14"/>
      <c r="G2" s="14"/>
      <c r="H2" s="14"/>
    </row>
    <row r="3" customFormat="false" ht="15" hidden="false" customHeight="true" outlineLevel="0" collapsed="false">
      <c r="A3" s="15" t="s">
        <v>24</v>
      </c>
      <c r="B3" s="15"/>
      <c r="C3" s="15"/>
      <c r="D3" s="15"/>
      <c r="E3" s="15"/>
      <c r="F3" s="15"/>
      <c r="G3" s="15"/>
      <c r="H3" s="15"/>
    </row>
    <row r="5" customFormat="false" ht="15" hidden="false" customHeight="false" outlineLevel="0" collapsed="false">
      <c r="A5" s="16" t="s">
        <v>25</v>
      </c>
      <c r="B5" s="16"/>
      <c r="C5" s="17" t="s">
        <v>26</v>
      </c>
      <c r="D5" s="17"/>
      <c r="E5" s="17"/>
      <c r="F5" s="17"/>
      <c r="G5" s="17"/>
      <c r="H5" s="17"/>
    </row>
    <row r="6" customFormat="false" ht="15" hidden="false" customHeight="false" outlineLevel="0" collapsed="false">
      <c r="A6" s="16" t="s">
        <v>27</v>
      </c>
      <c r="B6" s="16"/>
      <c r="C6" s="17" t="s">
        <v>28</v>
      </c>
      <c r="D6" s="17"/>
      <c r="E6" s="17"/>
      <c r="F6" s="17"/>
      <c r="G6" s="17"/>
      <c r="H6" s="17"/>
    </row>
    <row r="7" customFormat="false" ht="15" hidden="false" customHeight="false" outlineLevel="0" collapsed="false">
      <c r="A7" s="16" t="s">
        <v>29</v>
      </c>
      <c r="B7" s="16"/>
      <c r="C7" s="18" t="n">
        <v>150000000</v>
      </c>
      <c r="D7" s="18"/>
      <c r="E7" s="18"/>
    </row>
    <row r="8" customFormat="false" ht="15" hidden="false" customHeight="false" outlineLevel="0" collapsed="false">
      <c r="A8" s="16" t="s">
        <v>30</v>
      </c>
      <c r="B8" s="16"/>
      <c r="C8" s="17" t="s">
        <v>92</v>
      </c>
      <c r="D8" s="17"/>
      <c r="E8" s="17"/>
      <c r="F8" s="17"/>
      <c r="G8" s="17"/>
      <c r="H8" s="17"/>
    </row>
    <row r="10" customFormat="false" ht="23.85" hidden="false" customHeight="false" outlineLevel="0" collapsed="false">
      <c r="A10" s="3" t="s">
        <v>2</v>
      </c>
      <c r="B10" s="3" t="s">
        <v>32</v>
      </c>
      <c r="C10" s="3" t="s">
        <v>33</v>
      </c>
      <c r="D10" s="3" t="s">
        <v>34</v>
      </c>
      <c r="E10" s="3" t="s">
        <v>35</v>
      </c>
      <c r="F10" s="3" t="s">
        <v>36</v>
      </c>
      <c r="G10" s="3" t="s">
        <v>37</v>
      </c>
      <c r="H10" s="3" t="s">
        <v>38</v>
      </c>
    </row>
    <row r="11" customFormat="false" ht="15" hidden="false" customHeight="true" outlineLevel="0" collapsed="false">
      <c r="A11" s="19" t="s">
        <v>39</v>
      </c>
      <c r="B11" s="19"/>
      <c r="C11" s="19"/>
      <c r="D11" s="19"/>
      <c r="E11" s="19"/>
      <c r="F11" s="19"/>
      <c r="G11" s="20"/>
      <c r="H11" s="20"/>
    </row>
    <row r="12" customFormat="false" ht="15" hidden="false" customHeight="false" outlineLevel="0" collapsed="false">
      <c r="A12" s="4" t="n">
        <v>1</v>
      </c>
      <c r="B12" s="5" t="s">
        <v>40</v>
      </c>
      <c r="C12" s="4" t="n">
        <v>1</v>
      </c>
      <c r="D12" s="4" t="s">
        <v>41</v>
      </c>
      <c r="E12" s="4" t="n">
        <v>8</v>
      </c>
      <c r="F12" s="4" t="s">
        <v>42</v>
      </c>
      <c r="G12" s="6" t="n">
        <v>1020000</v>
      </c>
      <c r="H12" s="6" t="n">
        <f aca="false">C12*IF(E12="",1,E12)*G12</f>
        <v>8160000</v>
      </c>
    </row>
    <row r="13" customFormat="false" ht="15" hidden="false" customHeight="false" outlineLevel="0" collapsed="false">
      <c r="A13" s="4" t="n">
        <v>2</v>
      </c>
      <c r="B13" s="5" t="s">
        <v>43</v>
      </c>
      <c r="C13" s="4" t="n">
        <v>2</v>
      </c>
      <c r="D13" s="4" t="s">
        <v>41</v>
      </c>
      <c r="E13" s="4" t="n">
        <v>8</v>
      </c>
      <c r="F13" s="4" t="s">
        <v>42</v>
      </c>
      <c r="G13" s="6" t="n">
        <v>1020000</v>
      </c>
      <c r="H13" s="6" t="n">
        <f aca="false">C13*IF(E13="",1,E13)*G13</f>
        <v>16320000</v>
      </c>
    </row>
    <row r="14" customFormat="false" ht="15" hidden="false" customHeight="false" outlineLevel="0" collapsed="false">
      <c r="A14" s="4" t="n">
        <v>3</v>
      </c>
      <c r="B14" s="5" t="s">
        <v>44</v>
      </c>
      <c r="C14" s="4" t="n">
        <v>1</v>
      </c>
      <c r="D14" s="4" t="s">
        <v>41</v>
      </c>
      <c r="E14" s="4" t="n">
        <v>1</v>
      </c>
      <c r="F14" s="4" t="s">
        <v>45</v>
      </c>
      <c r="G14" s="6" t="n">
        <v>3741000</v>
      </c>
      <c r="H14" s="6" t="n">
        <f aca="false">C14*IF(E14="",1,E14)*G14</f>
        <v>3741000</v>
      </c>
    </row>
    <row r="15" customFormat="false" ht="15" hidden="false" customHeight="false" outlineLevel="0" collapsed="false">
      <c r="A15" s="4" t="n">
        <v>4</v>
      </c>
      <c r="B15" s="5" t="s">
        <v>46</v>
      </c>
      <c r="C15" s="4" t="n">
        <v>2</v>
      </c>
      <c r="D15" s="4" t="s">
        <v>41</v>
      </c>
      <c r="E15" s="4" t="n">
        <v>20</v>
      </c>
      <c r="F15" s="4" t="s">
        <v>47</v>
      </c>
      <c r="G15" s="6" t="n">
        <v>194475</v>
      </c>
      <c r="H15" s="6" t="n">
        <f aca="false">C15*IF(E15="",1,E15)*G15</f>
        <v>7779000</v>
      </c>
    </row>
    <row r="16" customFormat="false" ht="15" hidden="false" customHeight="false" outlineLevel="0" collapsed="false">
      <c r="A16" s="21" t="s">
        <v>48</v>
      </c>
      <c r="B16" s="21"/>
      <c r="C16" s="21"/>
      <c r="D16" s="21"/>
      <c r="E16" s="21"/>
      <c r="F16" s="21"/>
      <c r="G16" s="21"/>
      <c r="H16" s="22" t="n">
        <f aca="false">SUM(H12:H15)</f>
        <v>36000000</v>
      </c>
    </row>
    <row r="17" customFormat="false" ht="15" hidden="false" customHeight="true" outlineLevel="0" collapsed="false">
      <c r="A17" s="19" t="s">
        <v>49</v>
      </c>
      <c r="B17" s="19"/>
      <c r="C17" s="19"/>
      <c r="D17" s="19"/>
      <c r="E17" s="19"/>
      <c r="F17" s="19"/>
      <c r="G17" s="20"/>
      <c r="H17" s="20"/>
    </row>
    <row r="18" customFormat="false" ht="15" hidden="false" customHeight="false" outlineLevel="0" collapsed="false">
      <c r="A18" s="4" t="n">
        <v>1</v>
      </c>
      <c r="B18" s="5" t="s">
        <v>50</v>
      </c>
      <c r="C18" s="4" t="n">
        <v>1</v>
      </c>
      <c r="D18" s="4" t="s">
        <v>51</v>
      </c>
      <c r="E18" s="4"/>
      <c r="F18" s="4" t="s">
        <v>52</v>
      </c>
      <c r="G18" s="6" t="n">
        <v>12000000</v>
      </c>
      <c r="H18" s="6" t="n">
        <f aca="false">C18*IF(E18="",1,E18)*G18</f>
        <v>12000000</v>
      </c>
    </row>
    <row r="19" customFormat="false" ht="15" hidden="false" customHeight="false" outlineLevel="0" collapsed="false">
      <c r="A19" s="4" t="n">
        <v>2</v>
      </c>
      <c r="B19" s="5" t="s">
        <v>53</v>
      </c>
      <c r="C19" s="4" t="n">
        <v>1</v>
      </c>
      <c r="D19" s="4" t="s">
        <v>51</v>
      </c>
      <c r="E19" s="4"/>
      <c r="F19" s="4" t="s">
        <v>52</v>
      </c>
      <c r="G19" s="6" t="n">
        <v>12000000</v>
      </c>
      <c r="H19" s="6" t="n">
        <f aca="false">C19*IF(E19="",1,E19)*G19</f>
        <v>12000000</v>
      </c>
    </row>
    <row r="20" customFormat="false" ht="15" hidden="false" customHeight="false" outlineLevel="0" collapsed="false">
      <c r="A20" s="4" t="n">
        <v>3</v>
      </c>
      <c r="B20" s="5" t="s">
        <v>54</v>
      </c>
      <c r="C20" s="4" t="n">
        <v>1</v>
      </c>
      <c r="D20" s="4" t="s">
        <v>51</v>
      </c>
      <c r="E20" s="4"/>
      <c r="F20" s="4" t="s">
        <v>52</v>
      </c>
      <c r="G20" s="6" t="n">
        <v>12000000</v>
      </c>
      <c r="H20" s="6" t="n">
        <f aca="false">C20*IF(E20="",1,E20)*G20</f>
        <v>12000000</v>
      </c>
    </row>
    <row r="21" customFormat="false" ht="15" hidden="false" customHeight="false" outlineLevel="0" collapsed="false">
      <c r="A21" s="21" t="s">
        <v>55</v>
      </c>
      <c r="B21" s="21"/>
      <c r="C21" s="21"/>
      <c r="D21" s="21"/>
      <c r="E21" s="21"/>
      <c r="F21" s="21"/>
      <c r="G21" s="21"/>
      <c r="H21" s="22" t="n">
        <f aca="false">SUM(H18:H20)</f>
        <v>36000000</v>
      </c>
    </row>
    <row r="22" customFormat="false" ht="15" hidden="false" customHeight="true" outlineLevel="0" collapsed="false">
      <c r="A22" s="19" t="s">
        <v>56</v>
      </c>
      <c r="B22" s="19"/>
      <c r="C22" s="19"/>
      <c r="D22" s="19"/>
      <c r="E22" s="19"/>
      <c r="F22" s="19"/>
      <c r="G22" s="20"/>
      <c r="H22" s="20"/>
    </row>
    <row r="23" customFormat="false" ht="15" hidden="false" customHeight="false" outlineLevel="0" collapsed="false">
      <c r="A23" s="4" t="n">
        <v>1</v>
      </c>
      <c r="B23" s="5" t="s">
        <v>57</v>
      </c>
      <c r="C23" s="4" t="n">
        <v>1</v>
      </c>
      <c r="D23" s="4" t="s">
        <v>47</v>
      </c>
      <c r="E23" s="4"/>
      <c r="F23" s="4" t="s">
        <v>52</v>
      </c>
      <c r="G23" s="6" t="n">
        <v>7000000</v>
      </c>
      <c r="H23" s="6" t="n">
        <f aca="false">C23*IF(E23="",1,E23)*G23</f>
        <v>7000000</v>
      </c>
    </row>
    <row r="24" customFormat="false" ht="15" hidden="false" customHeight="false" outlineLevel="0" collapsed="false">
      <c r="A24" s="4" t="n">
        <v>2</v>
      </c>
      <c r="B24" s="5" t="s">
        <v>58</v>
      </c>
      <c r="C24" s="4" t="n">
        <v>1</v>
      </c>
      <c r="D24" s="4" t="s">
        <v>51</v>
      </c>
      <c r="E24" s="4"/>
      <c r="F24" s="4" t="s">
        <v>52</v>
      </c>
      <c r="G24" s="6" t="n">
        <v>7000000</v>
      </c>
      <c r="H24" s="6" t="n">
        <f aca="false">C24*IF(E24="",1,E24)*G24</f>
        <v>7000000</v>
      </c>
    </row>
    <row r="25" customFormat="false" ht="15" hidden="false" customHeight="false" outlineLevel="0" collapsed="false">
      <c r="A25" s="4" t="n">
        <v>3</v>
      </c>
      <c r="B25" s="5" t="s">
        <v>59</v>
      </c>
      <c r="C25" s="4" t="n">
        <v>1</v>
      </c>
      <c r="D25" s="4" t="s">
        <v>60</v>
      </c>
      <c r="E25" s="4"/>
      <c r="F25" s="4" t="s">
        <v>52</v>
      </c>
      <c r="G25" s="6" t="n">
        <v>7000000</v>
      </c>
      <c r="H25" s="6" t="n">
        <f aca="false">C25*IF(E25="",1,E25)*G25</f>
        <v>7000000</v>
      </c>
    </row>
    <row r="26" customFormat="false" ht="15" hidden="false" customHeight="false" outlineLevel="0" collapsed="false">
      <c r="A26" s="21" t="s">
        <v>61</v>
      </c>
      <c r="B26" s="21"/>
      <c r="C26" s="21"/>
      <c r="D26" s="21"/>
      <c r="E26" s="21"/>
      <c r="F26" s="21"/>
      <c r="G26" s="21"/>
      <c r="H26" s="22" t="n">
        <f aca="false">SUM(H23:H25)</f>
        <v>21000000</v>
      </c>
    </row>
    <row r="27" customFormat="false" ht="15" hidden="false" customHeight="true" outlineLevel="0" collapsed="false">
      <c r="A27" s="19" t="s">
        <v>62</v>
      </c>
      <c r="B27" s="19"/>
      <c r="C27" s="19"/>
      <c r="D27" s="19"/>
      <c r="E27" s="19"/>
      <c r="F27" s="19"/>
      <c r="G27" s="20"/>
      <c r="H27" s="20"/>
    </row>
    <row r="28" customFormat="false" ht="15" hidden="false" customHeight="false" outlineLevel="0" collapsed="false">
      <c r="A28" s="4" t="n">
        <v>1</v>
      </c>
      <c r="B28" s="5" t="s">
        <v>63</v>
      </c>
      <c r="C28" s="4" t="n">
        <v>1</v>
      </c>
      <c r="D28" s="4" t="s">
        <v>47</v>
      </c>
      <c r="E28" s="4"/>
      <c r="F28" s="4" t="s">
        <v>52</v>
      </c>
      <c r="G28" s="6" t="n">
        <v>13500000</v>
      </c>
      <c r="H28" s="6" t="n">
        <f aca="false">C28*IF(E28="",1,E28)*G28</f>
        <v>13500000</v>
      </c>
    </row>
    <row r="29" customFormat="false" ht="15" hidden="false" customHeight="false" outlineLevel="0" collapsed="false">
      <c r="A29" s="4" t="n">
        <v>2</v>
      </c>
      <c r="B29" s="5" t="s">
        <v>64</v>
      </c>
      <c r="C29" s="4" t="n">
        <v>1</v>
      </c>
      <c r="D29" s="4" t="s">
        <v>65</v>
      </c>
      <c r="E29" s="4"/>
      <c r="F29" s="4" t="s">
        <v>52</v>
      </c>
      <c r="G29" s="6" t="n">
        <v>13500000</v>
      </c>
      <c r="H29" s="6" t="n">
        <f aca="false">C29*IF(E29="",1,E29)*G29</f>
        <v>13500000</v>
      </c>
    </row>
    <row r="30" customFormat="false" ht="15" hidden="false" customHeight="false" outlineLevel="0" collapsed="false">
      <c r="A30" s="21" t="s">
        <v>66</v>
      </c>
      <c r="B30" s="21"/>
      <c r="C30" s="21"/>
      <c r="D30" s="21"/>
      <c r="E30" s="21"/>
      <c r="F30" s="21"/>
      <c r="G30" s="21"/>
      <c r="H30" s="22" t="n">
        <f aca="false">SUM(H28:H29)</f>
        <v>27000000</v>
      </c>
    </row>
    <row r="31" customFormat="false" ht="15" hidden="false" customHeight="true" outlineLevel="0" collapsed="false">
      <c r="A31" s="19" t="s">
        <v>67</v>
      </c>
      <c r="B31" s="19"/>
      <c r="C31" s="19"/>
      <c r="D31" s="19"/>
      <c r="E31" s="19"/>
      <c r="F31" s="19"/>
      <c r="G31" s="20"/>
      <c r="H31" s="20"/>
    </row>
    <row r="32" customFormat="false" ht="15" hidden="false" customHeight="false" outlineLevel="0" collapsed="false">
      <c r="A32" s="4" t="n">
        <v>1</v>
      </c>
      <c r="B32" s="5" t="s">
        <v>68</v>
      </c>
      <c r="C32" s="4" t="n">
        <v>1</v>
      </c>
      <c r="D32" s="4" t="s">
        <v>69</v>
      </c>
      <c r="E32" s="4"/>
      <c r="F32" s="4" t="s">
        <v>52</v>
      </c>
      <c r="G32" s="6" t="n">
        <v>4500000</v>
      </c>
      <c r="H32" s="6" t="n">
        <f aca="false">C32*IF(E32="",1,E32)*G32</f>
        <v>4500000</v>
      </c>
    </row>
    <row r="33" customFormat="false" ht="15" hidden="false" customHeight="false" outlineLevel="0" collapsed="false">
      <c r="A33" s="4" t="n">
        <v>2</v>
      </c>
      <c r="B33" s="5" t="s">
        <v>70</v>
      </c>
      <c r="C33" s="4" t="n">
        <v>1</v>
      </c>
      <c r="D33" s="4" t="s">
        <v>45</v>
      </c>
      <c r="E33" s="4"/>
      <c r="F33" s="4" t="s">
        <v>52</v>
      </c>
      <c r="G33" s="6" t="n">
        <v>4500000</v>
      </c>
      <c r="H33" s="6" t="n">
        <f aca="false">C33*IF(E33="",1,E33)*G33</f>
        <v>4500000</v>
      </c>
    </row>
    <row r="34" customFormat="false" ht="15" hidden="false" customHeight="false" outlineLevel="0" collapsed="false">
      <c r="A34" s="21" t="s">
        <v>71</v>
      </c>
      <c r="B34" s="21"/>
      <c r="C34" s="21"/>
      <c r="D34" s="21"/>
      <c r="E34" s="21"/>
      <c r="F34" s="21"/>
      <c r="G34" s="21"/>
      <c r="H34" s="22" t="n">
        <f aca="false">SUM(H32:H33)</f>
        <v>9000000</v>
      </c>
    </row>
    <row r="35" customFormat="false" ht="15" hidden="false" customHeight="true" outlineLevel="0" collapsed="false">
      <c r="A35" s="23" t="s">
        <v>72</v>
      </c>
      <c r="B35" s="23"/>
      <c r="C35" s="23"/>
      <c r="D35" s="23"/>
      <c r="E35" s="23"/>
      <c r="F35" s="23"/>
      <c r="G35" s="24"/>
      <c r="H35" s="24"/>
    </row>
    <row r="36" customFormat="false" ht="15" hidden="false" customHeight="false" outlineLevel="0" collapsed="false">
      <c r="A36" s="4" t="n">
        <v>1</v>
      </c>
      <c r="B36" s="5" t="s">
        <v>73</v>
      </c>
      <c r="C36" s="4" t="n">
        <v>1</v>
      </c>
      <c r="D36" s="4" t="s">
        <v>74</v>
      </c>
      <c r="E36" s="4"/>
      <c r="F36" s="4" t="s">
        <v>52</v>
      </c>
      <c r="G36" s="6" t="n">
        <v>9000000</v>
      </c>
      <c r="H36" s="6" t="n">
        <f aca="false">C36*IF(E36="",1,E36)*G36</f>
        <v>9000000</v>
      </c>
    </row>
    <row r="37" customFormat="false" ht="15" hidden="false" customHeight="false" outlineLevel="0" collapsed="false">
      <c r="A37" s="21" t="s">
        <v>75</v>
      </c>
      <c r="B37" s="21"/>
      <c r="C37" s="21"/>
      <c r="D37" s="21"/>
      <c r="E37" s="21"/>
      <c r="F37" s="21"/>
      <c r="G37" s="21"/>
      <c r="H37" s="22" t="n">
        <f aca="false">SUM(H36:H36)</f>
        <v>9000000</v>
      </c>
    </row>
    <row r="38" customFormat="false" ht="15" hidden="false" customHeight="true" outlineLevel="0" collapsed="false">
      <c r="A38" s="19" t="s">
        <v>76</v>
      </c>
      <c r="B38" s="19"/>
      <c r="C38" s="19"/>
      <c r="D38" s="19"/>
      <c r="E38" s="19"/>
      <c r="F38" s="19"/>
      <c r="G38" s="20"/>
      <c r="H38" s="20"/>
    </row>
    <row r="39" customFormat="false" ht="15" hidden="false" customHeight="false" outlineLevel="0" collapsed="false">
      <c r="A39" s="4" t="n">
        <v>1</v>
      </c>
      <c r="B39" s="5" t="s">
        <v>77</v>
      </c>
      <c r="C39" s="4" t="n">
        <v>1</v>
      </c>
      <c r="D39" s="4" t="s">
        <v>78</v>
      </c>
      <c r="E39" s="4"/>
      <c r="F39" s="4" t="s">
        <v>52</v>
      </c>
      <c r="G39" s="6" t="n">
        <v>4000000</v>
      </c>
      <c r="H39" s="6" t="n">
        <f aca="false">C39*IF(E39="",1,E39)*G39</f>
        <v>4000000</v>
      </c>
    </row>
    <row r="40" customFormat="false" ht="15" hidden="false" customHeight="false" outlineLevel="0" collapsed="false">
      <c r="A40" s="4" t="n">
        <v>2</v>
      </c>
      <c r="B40" s="5" t="s">
        <v>79</v>
      </c>
      <c r="C40" s="4" t="n">
        <v>1</v>
      </c>
      <c r="D40" s="4" t="s">
        <v>80</v>
      </c>
      <c r="E40" s="4"/>
      <c r="F40" s="4" t="s">
        <v>52</v>
      </c>
      <c r="G40" s="6" t="n">
        <v>4000000</v>
      </c>
      <c r="H40" s="6" t="n">
        <f aca="false">C40*IF(E40="",1,E40)*G40</f>
        <v>4000000</v>
      </c>
    </row>
    <row r="41" customFormat="false" ht="15" hidden="false" customHeight="false" outlineLevel="0" collapsed="false">
      <c r="A41" s="4" t="n">
        <v>3</v>
      </c>
      <c r="B41" s="5" t="s">
        <v>81</v>
      </c>
      <c r="C41" s="4" t="n">
        <v>1</v>
      </c>
      <c r="D41" s="4" t="s">
        <v>51</v>
      </c>
      <c r="E41" s="4"/>
      <c r="F41" s="4" t="s">
        <v>52</v>
      </c>
      <c r="G41" s="6" t="n">
        <v>4000000</v>
      </c>
      <c r="H41" s="6" t="n">
        <f aca="false">C41*IF(E41="",1,E41)*G41</f>
        <v>4000000</v>
      </c>
    </row>
    <row r="42" customFormat="false" ht="15" hidden="false" customHeight="false" outlineLevel="0" collapsed="false">
      <c r="A42" s="21" t="s">
        <v>82</v>
      </c>
      <c r="B42" s="21"/>
      <c r="C42" s="21"/>
      <c r="D42" s="21"/>
      <c r="E42" s="21"/>
      <c r="F42" s="21"/>
      <c r="G42" s="21"/>
      <c r="H42" s="22" t="n">
        <f aca="false">SUM(H39:H41)</f>
        <v>12000000</v>
      </c>
    </row>
    <row r="43" customFormat="false" ht="15" hidden="false" customHeight="false" outlineLevel="0" collapsed="false">
      <c r="A43" s="25" t="s">
        <v>83</v>
      </c>
      <c r="B43" s="25"/>
      <c r="C43" s="25"/>
      <c r="D43" s="25"/>
      <c r="E43" s="25"/>
      <c r="F43" s="25"/>
      <c r="G43" s="25"/>
      <c r="H43" s="26" t="n">
        <f aca="false">H16+H21+H26+H30+H34+H37+H42</f>
        <v>150000000</v>
      </c>
    </row>
    <row r="45" customFormat="false" ht="15" hidden="false" customHeight="false" outlineLevel="0" collapsed="false">
      <c r="B45" s="27" t="s">
        <v>84</v>
      </c>
    </row>
    <row r="46" customFormat="false" ht="15" hidden="false" customHeight="false" outlineLevel="0" collapsed="false">
      <c r="B46" s="28" t="s">
        <v>85</v>
      </c>
      <c r="G46" s="29" t="n">
        <f aca="false">H16+H21+H26+H30+H34+H42</f>
        <v>141000000</v>
      </c>
      <c r="H46" s="30" t="n">
        <f aca="false">IFERROR(G46/H43,"")</f>
        <v>0.94</v>
      </c>
    </row>
    <row r="47" customFormat="false" ht="15" hidden="false" customHeight="false" outlineLevel="0" collapsed="false">
      <c r="B47" s="28" t="s">
        <v>86</v>
      </c>
      <c r="G47" s="29" t="n">
        <f aca="false">H37</f>
        <v>9000000</v>
      </c>
      <c r="H47" s="30" t="n">
        <f aca="false">IFERROR(G47/H43,"")</f>
        <v>0.06</v>
      </c>
    </row>
    <row r="49" customFormat="false" ht="15" hidden="false" customHeight="false" outlineLevel="0" collapsed="false">
      <c r="A49" s="31" t="s">
        <v>87</v>
      </c>
    </row>
    <row r="50" customFormat="false" ht="15" hidden="false" customHeight="true" outlineLevel="0" collapsed="false">
      <c r="A50" s="12" t="s">
        <v>93</v>
      </c>
      <c r="B50" s="12"/>
      <c r="C50" s="12"/>
      <c r="D50" s="12"/>
      <c r="E50" s="12"/>
      <c r="F50" s="12"/>
      <c r="G50" s="12"/>
      <c r="H50" s="12"/>
    </row>
    <row r="51" customFormat="false" ht="15" hidden="false" customHeight="true" outlineLevel="0" collapsed="false">
      <c r="A51" s="12" t="s">
        <v>89</v>
      </c>
      <c r="B51" s="12"/>
      <c r="C51" s="12"/>
      <c r="D51" s="12"/>
      <c r="E51" s="12"/>
      <c r="F51" s="12"/>
      <c r="G51" s="12"/>
      <c r="H51" s="12"/>
    </row>
    <row r="52" customFormat="false" ht="15" hidden="false" customHeight="true" outlineLevel="0" collapsed="false">
      <c r="A52" s="12" t="s">
        <v>94</v>
      </c>
      <c r="B52" s="12"/>
      <c r="C52" s="12"/>
      <c r="D52" s="12"/>
      <c r="E52" s="12"/>
      <c r="F52" s="12"/>
      <c r="G52" s="12"/>
      <c r="H52" s="12"/>
    </row>
    <row r="53" customFormat="false" ht="15" hidden="false" customHeight="true" outlineLevel="0" collapsed="false">
      <c r="A53" s="12" t="s">
        <v>91</v>
      </c>
      <c r="B53" s="12"/>
      <c r="C53" s="12"/>
      <c r="D53" s="12"/>
      <c r="E53" s="12"/>
      <c r="F53" s="12"/>
      <c r="G53" s="12"/>
      <c r="H53" s="12"/>
    </row>
  </sheetData>
  <mergeCells count="30">
    <mergeCell ref="A1:H1"/>
    <mergeCell ref="A2:H2"/>
    <mergeCell ref="A3:H3"/>
    <mergeCell ref="A5:B5"/>
    <mergeCell ref="C5:H5"/>
    <mergeCell ref="A6:B6"/>
    <mergeCell ref="C6:H6"/>
    <mergeCell ref="A7:B7"/>
    <mergeCell ref="C7:E7"/>
    <mergeCell ref="A8:B8"/>
    <mergeCell ref="C8:H8"/>
    <mergeCell ref="A11:F11"/>
    <mergeCell ref="A16:G16"/>
    <mergeCell ref="A17:F17"/>
    <mergeCell ref="A21:G21"/>
    <mergeCell ref="A22:F22"/>
    <mergeCell ref="A26:G26"/>
    <mergeCell ref="A27:F27"/>
    <mergeCell ref="A30:G30"/>
    <mergeCell ref="A31:F31"/>
    <mergeCell ref="A34:G34"/>
    <mergeCell ref="A35:F35"/>
    <mergeCell ref="A37:G37"/>
    <mergeCell ref="A38:F38"/>
    <mergeCell ref="A42:G42"/>
    <mergeCell ref="A43:G43"/>
    <mergeCell ref="A50:H50"/>
    <mergeCell ref="A51:H51"/>
    <mergeCell ref="A52:H52"/>
    <mergeCell ref="A53:H53"/>
  </mergeCells>
  <printOptions headings="false" gridLines="false" gridLinesSet="true" horizontalCentered="tru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5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4"/>
    <col collapsed="false" customWidth="true" hidden="false" outlineLevel="0" max="3" min="3" style="0" width="7"/>
    <col collapsed="false" customWidth="true" hidden="false" outlineLevel="0" max="4" min="4" style="0" width="8"/>
    <col collapsed="false" customWidth="true" hidden="false" outlineLevel="0" max="5" min="5" style="0" width="7"/>
    <col collapsed="false" customWidth="true" hidden="false" outlineLevel="0" max="6" min="6" style="0" width="8"/>
    <col collapsed="false" customWidth="true" hidden="false" outlineLevel="0" max="7" min="7" style="0" width="15"/>
    <col collapsed="false" customWidth="true" hidden="false" outlineLevel="0" max="8" min="8" style="0" width="17"/>
  </cols>
  <sheetData>
    <row r="1" customFormat="false" ht="17.35" hidden="false" customHeight="true" outlineLevel="0" collapsed="false">
      <c r="A1" s="13" t="s">
        <v>23</v>
      </c>
      <c r="B1" s="13"/>
      <c r="C1" s="13"/>
      <c r="D1" s="13"/>
      <c r="E1" s="13"/>
      <c r="F1" s="13"/>
      <c r="G1" s="13"/>
      <c r="H1" s="13"/>
    </row>
    <row r="2" customFormat="false" ht="15" hidden="false" customHeight="true" outlineLevel="0" collapsed="false">
      <c r="A2" s="14" t="s">
        <v>12</v>
      </c>
      <c r="B2" s="14"/>
      <c r="C2" s="14"/>
      <c r="D2" s="14"/>
      <c r="E2" s="14"/>
      <c r="F2" s="14"/>
      <c r="G2" s="14"/>
      <c r="H2" s="14"/>
    </row>
    <row r="3" customFormat="false" ht="15" hidden="false" customHeight="true" outlineLevel="0" collapsed="false">
      <c r="A3" s="15" t="s">
        <v>95</v>
      </c>
      <c r="B3" s="15"/>
      <c r="C3" s="15"/>
      <c r="D3" s="15"/>
      <c r="E3" s="15"/>
      <c r="F3" s="15"/>
      <c r="G3" s="15"/>
      <c r="H3" s="15"/>
    </row>
    <row r="5" customFormat="false" ht="15" hidden="false" customHeight="false" outlineLevel="0" collapsed="false">
      <c r="A5" s="16" t="s">
        <v>25</v>
      </c>
      <c r="B5" s="16"/>
      <c r="C5" s="17" t="s">
        <v>26</v>
      </c>
      <c r="D5" s="17"/>
      <c r="E5" s="17"/>
      <c r="F5" s="17"/>
      <c r="G5" s="17"/>
      <c r="H5" s="17"/>
    </row>
    <row r="6" customFormat="false" ht="15" hidden="false" customHeight="false" outlineLevel="0" collapsed="false">
      <c r="A6" s="16" t="s">
        <v>27</v>
      </c>
      <c r="B6" s="16"/>
      <c r="C6" s="17" t="s">
        <v>28</v>
      </c>
      <c r="D6" s="17"/>
      <c r="E6" s="17"/>
      <c r="F6" s="17"/>
      <c r="G6" s="17"/>
      <c r="H6" s="17"/>
    </row>
    <row r="7" customFormat="false" ht="15" hidden="false" customHeight="false" outlineLevel="0" collapsed="false">
      <c r="A7" s="16" t="s">
        <v>29</v>
      </c>
      <c r="B7" s="16"/>
      <c r="C7" s="18" t="n">
        <v>500000000</v>
      </c>
      <c r="D7" s="18"/>
      <c r="E7" s="18"/>
    </row>
    <row r="8" customFormat="false" ht="15" hidden="false" customHeight="false" outlineLevel="0" collapsed="false">
      <c r="A8" s="16" t="s">
        <v>30</v>
      </c>
      <c r="B8" s="16"/>
      <c r="C8" s="17" t="s">
        <v>96</v>
      </c>
      <c r="D8" s="17"/>
      <c r="E8" s="17"/>
      <c r="F8" s="17"/>
      <c r="G8" s="17"/>
      <c r="H8" s="17"/>
    </row>
    <row r="10" customFormat="false" ht="23.85" hidden="false" customHeight="false" outlineLevel="0" collapsed="false">
      <c r="A10" s="3" t="s">
        <v>2</v>
      </c>
      <c r="B10" s="3" t="s">
        <v>32</v>
      </c>
      <c r="C10" s="3" t="s">
        <v>33</v>
      </c>
      <c r="D10" s="3" t="s">
        <v>34</v>
      </c>
      <c r="E10" s="3" t="s">
        <v>35</v>
      </c>
      <c r="F10" s="3" t="s">
        <v>36</v>
      </c>
      <c r="G10" s="3" t="s">
        <v>37</v>
      </c>
      <c r="H10" s="3" t="s">
        <v>38</v>
      </c>
    </row>
    <row r="11" customFormat="false" ht="15" hidden="false" customHeight="true" outlineLevel="0" collapsed="false">
      <c r="A11" s="19" t="s">
        <v>39</v>
      </c>
      <c r="B11" s="19"/>
      <c r="C11" s="19"/>
      <c r="D11" s="19"/>
      <c r="E11" s="19"/>
      <c r="F11" s="19"/>
      <c r="G11" s="20"/>
      <c r="H11" s="20"/>
    </row>
    <row r="12" customFormat="false" ht="15" hidden="false" customHeight="false" outlineLevel="0" collapsed="false">
      <c r="A12" s="4" t="n">
        <v>1</v>
      </c>
      <c r="B12" s="5" t="s">
        <v>40</v>
      </c>
      <c r="C12" s="4" t="n">
        <v>1</v>
      </c>
      <c r="D12" s="4" t="s">
        <v>41</v>
      </c>
      <c r="E12" s="4" t="n">
        <v>8</v>
      </c>
      <c r="F12" s="4" t="s">
        <v>42</v>
      </c>
      <c r="G12" s="6" t="n">
        <v>3401000</v>
      </c>
      <c r="H12" s="6" t="n">
        <f aca="false">C12*IF(E12="",1,E12)*G12</f>
        <v>27208000</v>
      </c>
    </row>
    <row r="13" customFormat="false" ht="15" hidden="false" customHeight="false" outlineLevel="0" collapsed="false">
      <c r="A13" s="4" t="n">
        <v>2</v>
      </c>
      <c r="B13" s="5" t="s">
        <v>43</v>
      </c>
      <c r="C13" s="4" t="n">
        <v>2</v>
      </c>
      <c r="D13" s="4" t="s">
        <v>41</v>
      </c>
      <c r="E13" s="4" t="n">
        <v>8</v>
      </c>
      <c r="F13" s="4" t="s">
        <v>42</v>
      </c>
      <c r="G13" s="6" t="n">
        <v>3401000</v>
      </c>
      <c r="H13" s="6" t="n">
        <f aca="false">C13*IF(E13="",1,E13)*G13</f>
        <v>54416000</v>
      </c>
    </row>
    <row r="14" customFormat="false" ht="15" hidden="false" customHeight="false" outlineLevel="0" collapsed="false">
      <c r="A14" s="4" t="n">
        <v>3</v>
      </c>
      <c r="B14" s="5" t="s">
        <v>44</v>
      </c>
      <c r="C14" s="4" t="n">
        <v>1</v>
      </c>
      <c r="D14" s="4" t="s">
        <v>41</v>
      </c>
      <c r="E14" s="4" t="n">
        <v>1</v>
      </c>
      <c r="F14" s="4" t="s">
        <v>45</v>
      </c>
      <c r="G14" s="6" t="n">
        <v>12470000</v>
      </c>
      <c r="H14" s="6" t="n">
        <f aca="false">C14*IF(E14="",1,E14)*G14</f>
        <v>12470000</v>
      </c>
    </row>
    <row r="15" customFormat="false" ht="15" hidden="false" customHeight="false" outlineLevel="0" collapsed="false">
      <c r="A15" s="4" t="n">
        <v>4</v>
      </c>
      <c r="B15" s="5" t="s">
        <v>46</v>
      </c>
      <c r="C15" s="4" t="n">
        <v>2</v>
      </c>
      <c r="D15" s="4" t="s">
        <v>41</v>
      </c>
      <c r="E15" s="4" t="n">
        <v>20</v>
      </c>
      <c r="F15" s="4" t="s">
        <v>47</v>
      </c>
      <c r="G15" s="6" t="n">
        <v>647650</v>
      </c>
      <c r="H15" s="6" t="n">
        <f aca="false">C15*IF(E15="",1,E15)*G15</f>
        <v>25906000</v>
      </c>
    </row>
    <row r="16" customFormat="false" ht="15" hidden="false" customHeight="false" outlineLevel="0" collapsed="false">
      <c r="A16" s="21" t="s">
        <v>48</v>
      </c>
      <c r="B16" s="21"/>
      <c r="C16" s="21"/>
      <c r="D16" s="21"/>
      <c r="E16" s="21"/>
      <c r="F16" s="21"/>
      <c r="G16" s="21"/>
      <c r="H16" s="22" t="n">
        <f aca="false">SUM(H12:H15)</f>
        <v>120000000</v>
      </c>
    </row>
    <row r="17" customFormat="false" ht="15" hidden="false" customHeight="true" outlineLevel="0" collapsed="false">
      <c r="A17" s="19" t="s">
        <v>49</v>
      </c>
      <c r="B17" s="19"/>
      <c r="C17" s="19"/>
      <c r="D17" s="19"/>
      <c r="E17" s="19"/>
      <c r="F17" s="19"/>
      <c r="G17" s="20"/>
      <c r="H17" s="20"/>
    </row>
    <row r="18" customFormat="false" ht="15" hidden="false" customHeight="false" outlineLevel="0" collapsed="false">
      <c r="A18" s="4" t="n">
        <v>1</v>
      </c>
      <c r="B18" s="5" t="s">
        <v>50</v>
      </c>
      <c r="C18" s="4" t="n">
        <v>1</v>
      </c>
      <c r="D18" s="4" t="s">
        <v>51</v>
      </c>
      <c r="E18" s="4"/>
      <c r="F18" s="4" t="s">
        <v>52</v>
      </c>
      <c r="G18" s="6" t="n">
        <v>43333333</v>
      </c>
      <c r="H18" s="6" t="n">
        <f aca="false">C18*IF(E18="",1,E18)*G18</f>
        <v>43333333</v>
      </c>
    </row>
    <row r="19" customFormat="false" ht="15" hidden="false" customHeight="false" outlineLevel="0" collapsed="false">
      <c r="A19" s="4" t="n">
        <v>2</v>
      </c>
      <c r="B19" s="5" t="s">
        <v>53</v>
      </c>
      <c r="C19" s="4" t="n">
        <v>1</v>
      </c>
      <c r="D19" s="4" t="s">
        <v>51</v>
      </c>
      <c r="E19" s="4"/>
      <c r="F19" s="4" t="s">
        <v>52</v>
      </c>
      <c r="G19" s="6" t="n">
        <v>43333333</v>
      </c>
      <c r="H19" s="6" t="n">
        <f aca="false">C19*IF(E19="",1,E19)*G19</f>
        <v>43333333</v>
      </c>
    </row>
    <row r="20" customFormat="false" ht="15" hidden="false" customHeight="false" outlineLevel="0" collapsed="false">
      <c r="A20" s="4" t="n">
        <v>3</v>
      </c>
      <c r="B20" s="5" t="s">
        <v>54</v>
      </c>
      <c r="C20" s="4" t="n">
        <v>1</v>
      </c>
      <c r="D20" s="4" t="s">
        <v>51</v>
      </c>
      <c r="E20" s="4"/>
      <c r="F20" s="4" t="s">
        <v>52</v>
      </c>
      <c r="G20" s="6" t="n">
        <v>43333334</v>
      </c>
      <c r="H20" s="6" t="n">
        <f aca="false">C20*IF(E20="",1,E20)*G20</f>
        <v>43333334</v>
      </c>
    </row>
    <row r="21" customFormat="false" ht="15" hidden="false" customHeight="false" outlineLevel="0" collapsed="false">
      <c r="A21" s="21" t="s">
        <v>55</v>
      </c>
      <c r="B21" s="21"/>
      <c r="C21" s="21"/>
      <c r="D21" s="21"/>
      <c r="E21" s="21"/>
      <c r="F21" s="21"/>
      <c r="G21" s="21"/>
      <c r="H21" s="22" t="n">
        <f aca="false">SUM(H18:H20)</f>
        <v>130000000</v>
      </c>
    </row>
    <row r="22" customFormat="false" ht="15" hidden="false" customHeight="true" outlineLevel="0" collapsed="false">
      <c r="A22" s="19" t="s">
        <v>56</v>
      </c>
      <c r="B22" s="19"/>
      <c r="C22" s="19"/>
      <c r="D22" s="19"/>
      <c r="E22" s="19"/>
      <c r="F22" s="19"/>
      <c r="G22" s="20"/>
      <c r="H22" s="20"/>
    </row>
    <row r="23" customFormat="false" ht="15" hidden="false" customHeight="false" outlineLevel="0" collapsed="false">
      <c r="A23" s="4" t="n">
        <v>1</v>
      </c>
      <c r="B23" s="5" t="s">
        <v>57</v>
      </c>
      <c r="C23" s="4" t="n">
        <v>1</v>
      </c>
      <c r="D23" s="4" t="s">
        <v>47</v>
      </c>
      <c r="E23" s="4"/>
      <c r="F23" s="4" t="s">
        <v>52</v>
      </c>
      <c r="G23" s="6" t="n">
        <v>23333333</v>
      </c>
      <c r="H23" s="6" t="n">
        <f aca="false">C23*IF(E23="",1,E23)*G23</f>
        <v>23333333</v>
      </c>
    </row>
    <row r="24" customFormat="false" ht="15" hidden="false" customHeight="false" outlineLevel="0" collapsed="false">
      <c r="A24" s="4" t="n">
        <v>2</v>
      </c>
      <c r="B24" s="5" t="s">
        <v>58</v>
      </c>
      <c r="C24" s="4" t="n">
        <v>1</v>
      </c>
      <c r="D24" s="4" t="s">
        <v>51</v>
      </c>
      <c r="E24" s="4"/>
      <c r="F24" s="4" t="s">
        <v>52</v>
      </c>
      <c r="G24" s="6" t="n">
        <v>23333333</v>
      </c>
      <c r="H24" s="6" t="n">
        <f aca="false">C24*IF(E24="",1,E24)*G24</f>
        <v>23333333</v>
      </c>
    </row>
    <row r="25" customFormat="false" ht="15" hidden="false" customHeight="false" outlineLevel="0" collapsed="false">
      <c r="A25" s="4" t="n">
        <v>3</v>
      </c>
      <c r="B25" s="5" t="s">
        <v>59</v>
      </c>
      <c r="C25" s="4" t="n">
        <v>1</v>
      </c>
      <c r="D25" s="4" t="s">
        <v>60</v>
      </c>
      <c r="E25" s="4"/>
      <c r="F25" s="4" t="s">
        <v>52</v>
      </c>
      <c r="G25" s="6" t="n">
        <v>23333334</v>
      </c>
      <c r="H25" s="6" t="n">
        <f aca="false">C25*IF(E25="",1,E25)*G25</f>
        <v>23333334</v>
      </c>
    </row>
    <row r="26" customFormat="false" ht="15" hidden="false" customHeight="false" outlineLevel="0" collapsed="false">
      <c r="A26" s="21" t="s">
        <v>61</v>
      </c>
      <c r="B26" s="21"/>
      <c r="C26" s="21"/>
      <c r="D26" s="21"/>
      <c r="E26" s="21"/>
      <c r="F26" s="21"/>
      <c r="G26" s="21"/>
      <c r="H26" s="22" t="n">
        <f aca="false">SUM(H23:H25)</f>
        <v>70000000</v>
      </c>
    </row>
    <row r="27" customFormat="false" ht="15" hidden="false" customHeight="true" outlineLevel="0" collapsed="false">
      <c r="A27" s="19" t="s">
        <v>62</v>
      </c>
      <c r="B27" s="19"/>
      <c r="C27" s="19"/>
      <c r="D27" s="19"/>
      <c r="E27" s="19"/>
      <c r="F27" s="19"/>
      <c r="G27" s="20"/>
      <c r="H27" s="20"/>
    </row>
    <row r="28" customFormat="false" ht="15" hidden="false" customHeight="false" outlineLevel="0" collapsed="false">
      <c r="A28" s="4" t="n">
        <v>1</v>
      </c>
      <c r="B28" s="5" t="s">
        <v>63</v>
      </c>
      <c r="C28" s="4" t="n">
        <v>1</v>
      </c>
      <c r="D28" s="4" t="s">
        <v>47</v>
      </c>
      <c r="E28" s="4"/>
      <c r="F28" s="4" t="s">
        <v>52</v>
      </c>
      <c r="G28" s="6" t="n">
        <v>30000000</v>
      </c>
      <c r="H28" s="6" t="n">
        <f aca="false">C28*IF(E28="",1,E28)*G28</f>
        <v>30000000</v>
      </c>
    </row>
    <row r="29" customFormat="false" ht="15" hidden="false" customHeight="false" outlineLevel="0" collapsed="false">
      <c r="A29" s="4" t="n">
        <v>2</v>
      </c>
      <c r="B29" s="5" t="s">
        <v>64</v>
      </c>
      <c r="C29" s="4" t="n">
        <v>1</v>
      </c>
      <c r="D29" s="4" t="s">
        <v>65</v>
      </c>
      <c r="E29" s="4"/>
      <c r="F29" s="4" t="s">
        <v>52</v>
      </c>
      <c r="G29" s="6" t="n">
        <v>30000000</v>
      </c>
      <c r="H29" s="6" t="n">
        <f aca="false">C29*IF(E29="",1,E29)*G29</f>
        <v>30000000</v>
      </c>
    </row>
    <row r="30" customFormat="false" ht="15" hidden="false" customHeight="false" outlineLevel="0" collapsed="false">
      <c r="A30" s="21" t="s">
        <v>66</v>
      </c>
      <c r="B30" s="21"/>
      <c r="C30" s="21"/>
      <c r="D30" s="21"/>
      <c r="E30" s="21"/>
      <c r="F30" s="21"/>
      <c r="G30" s="21"/>
      <c r="H30" s="22" t="n">
        <f aca="false">SUM(H28:H29)</f>
        <v>60000000</v>
      </c>
    </row>
    <row r="31" customFormat="false" ht="15" hidden="false" customHeight="true" outlineLevel="0" collapsed="false">
      <c r="A31" s="19" t="s">
        <v>67</v>
      </c>
      <c r="B31" s="19"/>
      <c r="C31" s="19"/>
      <c r="D31" s="19"/>
      <c r="E31" s="19"/>
      <c r="F31" s="19"/>
      <c r="G31" s="20"/>
      <c r="H31" s="20"/>
    </row>
    <row r="32" customFormat="false" ht="15" hidden="false" customHeight="false" outlineLevel="0" collapsed="false">
      <c r="A32" s="4" t="n">
        <v>1</v>
      </c>
      <c r="B32" s="5" t="s">
        <v>68</v>
      </c>
      <c r="C32" s="4" t="n">
        <v>1</v>
      </c>
      <c r="D32" s="4" t="s">
        <v>69</v>
      </c>
      <c r="E32" s="4"/>
      <c r="F32" s="4" t="s">
        <v>52</v>
      </c>
      <c r="G32" s="6" t="n">
        <v>15000000</v>
      </c>
      <c r="H32" s="6" t="n">
        <f aca="false">C32*IF(E32="",1,E32)*G32</f>
        <v>15000000</v>
      </c>
    </row>
    <row r="33" customFormat="false" ht="15" hidden="false" customHeight="false" outlineLevel="0" collapsed="false">
      <c r="A33" s="4" t="n">
        <v>2</v>
      </c>
      <c r="B33" s="5" t="s">
        <v>70</v>
      </c>
      <c r="C33" s="4" t="n">
        <v>1</v>
      </c>
      <c r="D33" s="4" t="s">
        <v>45</v>
      </c>
      <c r="E33" s="4"/>
      <c r="F33" s="4" t="s">
        <v>52</v>
      </c>
      <c r="G33" s="6" t="n">
        <v>15000000</v>
      </c>
      <c r="H33" s="6" t="n">
        <f aca="false">C33*IF(E33="",1,E33)*G33</f>
        <v>15000000</v>
      </c>
    </row>
    <row r="34" customFormat="false" ht="15" hidden="false" customHeight="false" outlineLevel="0" collapsed="false">
      <c r="A34" s="21" t="s">
        <v>71</v>
      </c>
      <c r="B34" s="21"/>
      <c r="C34" s="21"/>
      <c r="D34" s="21"/>
      <c r="E34" s="21"/>
      <c r="F34" s="21"/>
      <c r="G34" s="21"/>
      <c r="H34" s="22" t="n">
        <f aca="false">SUM(H32:H33)</f>
        <v>30000000</v>
      </c>
    </row>
    <row r="35" customFormat="false" ht="15" hidden="false" customHeight="true" outlineLevel="0" collapsed="false">
      <c r="A35" s="23" t="s">
        <v>72</v>
      </c>
      <c r="B35" s="23"/>
      <c r="C35" s="23"/>
      <c r="D35" s="23"/>
      <c r="E35" s="23"/>
      <c r="F35" s="23"/>
      <c r="G35" s="24"/>
      <c r="H35" s="24"/>
    </row>
    <row r="36" customFormat="false" ht="15" hidden="false" customHeight="false" outlineLevel="0" collapsed="false">
      <c r="A36" s="4" t="n">
        <v>1</v>
      </c>
      <c r="B36" s="5" t="s">
        <v>73</v>
      </c>
      <c r="C36" s="4" t="n">
        <v>1</v>
      </c>
      <c r="D36" s="4" t="s">
        <v>74</v>
      </c>
      <c r="E36" s="4"/>
      <c r="F36" s="4" t="s">
        <v>52</v>
      </c>
      <c r="G36" s="6" t="n">
        <v>50000000</v>
      </c>
      <c r="H36" s="6" t="n">
        <f aca="false">C36*IF(E36="",1,E36)*G36</f>
        <v>50000000</v>
      </c>
    </row>
    <row r="37" customFormat="false" ht="15" hidden="false" customHeight="false" outlineLevel="0" collapsed="false">
      <c r="A37" s="21" t="s">
        <v>75</v>
      </c>
      <c r="B37" s="21"/>
      <c r="C37" s="21"/>
      <c r="D37" s="21"/>
      <c r="E37" s="21"/>
      <c r="F37" s="21"/>
      <c r="G37" s="21"/>
      <c r="H37" s="22" t="n">
        <f aca="false">SUM(H36:H36)</f>
        <v>50000000</v>
      </c>
    </row>
    <row r="38" customFormat="false" ht="15" hidden="false" customHeight="true" outlineLevel="0" collapsed="false">
      <c r="A38" s="19" t="s">
        <v>76</v>
      </c>
      <c r="B38" s="19"/>
      <c r="C38" s="19"/>
      <c r="D38" s="19"/>
      <c r="E38" s="19"/>
      <c r="F38" s="19"/>
      <c r="G38" s="20"/>
      <c r="H38" s="20"/>
    </row>
    <row r="39" customFormat="false" ht="15" hidden="false" customHeight="false" outlineLevel="0" collapsed="false">
      <c r="A39" s="4" t="n">
        <v>1</v>
      </c>
      <c r="B39" s="5" t="s">
        <v>77</v>
      </c>
      <c r="C39" s="4" t="n">
        <v>1</v>
      </c>
      <c r="D39" s="4" t="s">
        <v>78</v>
      </c>
      <c r="E39" s="4"/>
      <c r="F39" s="4" t="s">
        <v>52</v>
      </c>
      <c r="G39" s="6" t="n">
        <v>13333333</v>
      </c>
      <c r="H39" s="6" t="n">
        <f aca="false">C39*IF(E39="",1,E39)*G39</f>
        <v>13333333</v>
      </c>
    </row>
    <row r="40" customFormat="false" ht="15" hidden="false" customHeight="false" outlineLevel="0" collapsed="false">
      <c r="A40" s="4" t="n">
        <v>2</v>
      </c>
      <c r="B40" s="5" t="s">
        <v>79</v>
      </c>
      <c r="C40" s="4" t="n">
        <v>1</v>
      </c>
      <c r="D40" s="4" t="s">
        <v>80</v>
      </c>
      <c r="E40" s="4"/>
      <c r="F40" s="4" t="s">
        <v>52</v>
      </c>
      <c r="G40" s="6" t="n">
        <v>13333333</v>
      </c>
      <c r="H40" s="6" t="n">
        <f aca="false">C40*IF(E40="",1,E40)*G40</f>
        <v>13333333</v>
      </c>
    </row>
    <row r="41" customFormat="false" ht="15" hidden="false" customHeight="false" outlineLevel="0" collapsed="false">
      <c r="A41" s="4" t="n">
        <v>3</v>
      </c>
      <c r="B41" s="5" t="s">
        <v>81</v>
      </c>
      <c r="C41" s="4" t="n">
        <v>1</v>
      </c>
      <c r="D41" s="4" t="s">
        <v>51</v>
      </c>
      <c r="E41" s="4"/>
      <c r="F41" s="4" t="s">
        <v>52</v>
      </c>
      <c r="G41" s="6" t="n">
        <v>13333334</v>
      </c>
      <c r="H41" s="6" t="n">
        <f aca="false">C41*IF(E41="",1,E41)*G41</f>
        <v>13333334</v>
      </c>
    </row>
    <row r="42" customFormat="false" ht="15" hidden="false" customHeight="false" outlineLevel="0" collapsed="false">
      <c r="A42" s="21" t="s">
        <v>82</v>
      </c>
      <c r="B42" s="21"/>
      <c r="C42" s="21"/>
      <c r="D42" s="21"/>
      <c r="E42" s="21"/>
      <c r="F42" s="21"/>
      <c r="G42" s="21"/>
      <c r="H42" s="22" t="n">
        <f aca="false">SUM(H39:H41)</f>
        <v>40000000</v>
      </c>
    </row>
    <row r="43" customFormat="false" ht="15" hidden="false" customHeight="false" outlineLevel="0" collapsed="false">
      <c r="A43" s="25" t="s">
        <v>83</v>
      </c>
      <c r="B43" s="25"/>
      <c r="C43" s="25"/>
      <c r="D43" s="25"/>
      <c r="E43" s="25"/>
      <c r="F43" s="25"/>
      <c r="G43" s="25"/>
      <c r="H43" s="26" t="n">
        <f aca="false">H16+H21+H26+H30+H34+H37+H42</f>
        <v>500000000</v>
      </c>
    </row>
    <row r="45" customFormat="false" ht="15" hidden="false" customHeight="false" outlineLevel="0" collapsed="false">
      <c r="B45" s="27" t="s">
        <v>84</v>
      </c>
    </row>
    <row r="46" customFormat="false" ht="15" hidden="false" customHeight="false" outlineLevel="0" collapsed="false">
      <c r="B46" s="28" t="s">
        <v>85</v>
      </c>
      <c r="G46" s="29" t="n">
        <f aca="false">H16+H21+H26+H30+H34+H42</f>
        <v>450000000</v>
      </c>
      <c r="H46" s="30" t="n">
        <f aca="false">IFERROR(G46/H43,"")</f>
        <v>0.9</v>
      </c>
    </row>
    <row r="47" customFormat="false" ht="15" hidden="false" customHeight="false" outlineLevel="0" collapsed="false">
      <c r="B47" s="28" t="s">
        <v>86</v>
      </c>
      <c r="G47" s="29" t="n">
        <f aca="false">H37</f>
        <v>50000000</v>
      </c>
      <c r="H47" s="30" t="n">
        <f aca="false">IFERROR(G47/H43,"")</f>
        <v>0.1</v>
      </c>
    </row>
    <row r="49" customFormat="false" ht="15" hidden="false" customHeight="false" outlineLevel="0" collapsed="false">
      <c r="A49" s="31" t="s">
        <v>87</v>
      </c>
    </row>
    <row r="50" customFormat="false" ht="15" hidden="false" customHeight="true" outlineLevel="0" collapsed="false">
      <c r="A50" s="12" t="s">
        <v>97</v>
      </c>
      <c r="B50" s="12"/>
      <c r="C50" s="12"/>
      <c r="D50" s="12"/>
      <c r="E50" s="12"/>
      <c r="F50" s="12"/>
      <c r="G50" s="12"/>
      <c r="H50" s="12"/>
    </row>
    <row r="51" customFormat="false" ht="15" hidden="false" customHeight="true" outlineLevel="0" collapsed="false">
      <c r="A51" s="12" t="s">
        <v>89</v>
      </c>
      <c r="B51" s="12"/>
      <c r="C51" s="12"/>
      <c r="D51" s="12"/>
      <c r="E51" s="12"/>
      <c r="F51" s="12"/>
      <c r="G51" s="12"/>
      <c r="H51" s="12"/>
    </row>
    <row r="52" customFormat="false" ht="15" hidden="false" customHeight="true" outlineLevel="0" collapsed="false">
      <c r="A52" s="12" t="s">
        <v>98</v>
      </c>
      <c r="B52" s="12"/>
      <c r="C52" s="12"/>
      <c r="D52" s="12"/>
      <c r="E52" s="12"/>
      <c r="F52" s="12"/>
      <c r="G52" s="12"/>
      <c r="H52" s="12"/>
    </row>
    <row r="53" customFormat="false" ht="15" hidden="false" customHeight="true" outlineLevel="0" collapsed="false">
      <c r="A53" s="12" t="s">
        <v>91</v>
      </c>
      <c r="B53" s="12"/>
      <c r="C53" s="12"/>
      <c r="D53" s="12"/>
      <c r="E53" s="12"/>
      <c r="F53" s="12"/>
      <c r="G53" s="12"/>
      <c r="H53" s="12"/>
    </row>
  </sheetData>
  <mergeCells count="30">
    <mergeCell ref="A1:H1"/>
    <mergeCell ref="A2:H2"/>
    <mergeCell ref="A3:H3"/>
    <mergeCell ref="A5:B5"/>
    <mergeCell ref="C5:H5"/>
    <mergeCell ref="A6:B6"/>
    <mergeCell ref="C6:H6"/>
    <mergeCell ref="A7:B7"/>
    <mergeCell ref="C7:E7"/>
    <mergeCell ref="A8:B8"/>
    <mergeCell ref="C8:H8"/>
    <mergeCell ref="A11:F11"/>
    <mergeCell ref="A16:G16"/>
    <mergeCell ref="A17:F17"/>
    <mergeCell ref="A21:G21"/>
    <mergeCell ref="A22:F22"/>
    <mergeCell ref="A26:G26"/>
    <mergeCell ref="A27:F27"/>
    <mergeCell ref="A30:G30"/>
    <mergeCell ref="A31:F31"/>
    <mergeCell ref="A34:G34"/>
    <mergeCell ref="A35:F35"/>
    <mergeCell ref="A37:G37"/>
    <mergeCell ref="A38:F38"/>
    <mergeCell ref="A42:G42"/>
    <mergeCell ref="A43:G43"/>
    <mergeCell ref="A50:H50"/>
    <mergeCell ref="A51:H51"/>
    <mergeCell ref="A52:H52"/>
    <mergeCell ref="A53:H53"/>
  </mergeCells>
  <printOptions headings="false" gridLines="false" gridLinesSet="true" horizontalCentered="tru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5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4"/>
    <col collapsed="false" customWidth="true" hidden="false" outlineLevel="0" max="3" min="3" style="0" width="7"/>
    <col collapsed="false" customWidth="true" hidden="false" outlineLevel="0" max="4" min="4" style="0" width="8"/>
    <col collapsed="false" customWidth="true" hidden="false" outlineLevel="0" max="5" min="5" style="0" width="7"/>
    <col collapsed="false" customWidth="true" hidden="false" outlineLevel="0" max="6" min="6" style="0" width="8"/>
    <col collapsed="false" customWidth="true" hidden="false" outlineLevel="0" max="7" min="7" style="0" width="15"/>
    <col collapsed="false" customWidth="true" hidden="false" outlineLevel="0" max="8" min="8" style="0" width="17"/>
  </cols>
  <sheetData>
    <row r="1" customFormat="false" ht="17.35" hidden="false" customHeight="true" outlineLevel="0" collapsed="false">
      <c r="A1" s="13" t="s">
        <v>23</v>
      </c>
      <c r="B1" s="13"/>
      <c r="C1" s="13"/>
      <c r="D1" s="13"/>
      <c r="E1" s="13"/>
      <c r="F1" s="13"/>
      <c r="G1" s="13"/>
      <c r="H1" s="13"/>
    </row>
    <row r="2" customFormat="false" ht="15" hidden="false" customHeight="true" outlineLevel="0" collapsed="false">
      <c r="A2" s="14" t="s">
        <v>13</v>
      </c>
      <c r="B2" s="14"/>
      <c r="C2" s="14"/>
      <c r="D2" s="14"/>
      <c r="E2" s="14"/>
      <c r="F2" s="14"/>
      <c r="G2" s="14"/>
      <c r="H2" s="14"/>
    </row>
    <row r="3" customFormat="false" ht="15" hidden="false" customHeight="true" outlineLevel="0" collapsed="false">
      <c r="A3" s="15" t="s">
        <v>99</v>
      </c>
      <c r="B3" s="15"/>
      <c r="C3" s="15"/>
      <c r="D3" s="15"/>
      <c r="E3" s="15"/>
      <c r="F3" s="15"/>
      <c r="G3" s="15"/>
      <c r="H3" s="15"/>
    </row>
    <row r="5" customFormat="false" ht="15" hidden="false" customHeight="false" outlineLevel="0" collapsed="false">
      <c r="A5" s="16" t="s">
        <v>25</v>
      </c>
      <c r="B5" s="16"/>
      <c r="C5" s="17" t="s">
        <v>26</v>
      </c>
      <c r="D5" s="17"/>
      <c r="E5" s="17"/>
      <c r="F5" s="17"/>
      <c r="G5" s="17"/>
      <c r="H5" s="17"/>
    </row>
    <row r="6" customFormat="false" ht="15" hidden="false" customHeight="false" outlineLevel="0" collapsed="false">
      <c r="A6" s="16" t="s">
        <v>27</v>
      </c>
      <c r="B6" s="16"/>
      <c r="C6" s="17" t="s">
        <v>28</v>
      </c>
      <c r="D6" s="17"/>
      <c r="E6" s="17"/>
      <c r="F6" s="17"/>
      <c r="G6" s="17"/>
      <c r="H6" s="17"/>
    </row>
    <row r="7" customFormat="false" ht="15" hidden="false" customHeight="false" outlineLevel="0" collapsed="false">
      <c r="A7" s="16" t="s">
        <v>29</v>
      </c>
      <c r="B7" s="16"/>
      <c r="C7" s="18" t="n">
        <v>250000000</v>
      </c>
      <c r="D7" s="18"/>
      <c r="E7" s="18"/>
    </row>
    <row r="8" customFormat="false" ht="15" hidden="false" customHeight="false" outlineLevel="0" collapsed="false">
      <c r="A8" s="16" t="s">
        <v>30</v>
      </c>
      <c r="B8" s="16"/>
      <c r="C8" s="17" t="s">
        <v>100</v>
      </c>
      <c r="D8" s="17"/>
      <c r="E8" s="17"/>
      <c r="F8" s="17"/>
      <c r="G8" s="17"/>
      <c r="H8" s="17"/>
    </row>
    <row r="10" customFormat="false" ht="23.85" hidden="false" customHeight="false" outlineLevel="0" collapsed="false">
      <c r="A10" s="3" t="s">
        <v>2</v>
      </c>
      <c r="B10" s="3" t="s">
        <v>32</v>
      </c>
      <c r="C10" s="3" t="s">
        <v>33</v>
      </c>
      <c r="D10" s="3" t="s">
        <v>34</v>
      </c>
      <c r="E10" s="3" t="s">
        <v>35</v>
      </c>
      <c r="F10" s="3" t="s">
        <v>36</v>
      </c>
      <c r="G10" s="3" t="s">
        <v>37</v>
      </c>
      <c r="H10" s="3" t="s">
        <v>38</v>
      </c>
    </row>
    <row r="11" customFormat="false" ht="15" hidden="false" customHeight="true" outlineLevel="0" collapsed="false">
      <c r="A11" s="19" t="s">
        <v>39</v>
      </c>
      <c r="B11" s="19"/>
      <c r="C11" s="19"/>
      <c r="D11" s="19"/>
      <c r="E11" s="19"/>
      <c r="F11" s="19"/>
      <c r="G11" s="20"/>
      <c r="H11" s="20"/>
    </row>
    <row r="12" customFormat="false" ht="15" hidden="false" customHeight="false" outlineLevel="0" collapsed="false">
      <c r="A12" s="4" t="n">
        <v>1</v>
      </c>
      <c r="B12" s="5" t="s">
        <v>40</v>
      </c>
      <c r="C12" s="4" t="n">
        <v>1</v>
      </c>
      <c r="D12" s="4" t="s">
        <v>41</v>
      </c>
      <c r="E12" s="4" t="n">
        <v>8</v>
      </c>
      <c r="F12" s="4" t="s">
        <v>42</v>
      </c>
      <c r="G12" s="6" t="n">
        <v>1559000</v>
      </c>
      <c r="H12" s="6" t="n">
        <f aca="false">C12*IF(E12="",1,E12)*G12</f>
        <v>12472000</v>
      </c>
    </row>
    <row r="13" customFormat="false" ht="15" hidden="false" customHeight="false" outlineLevel="0" collapsed="false">
      <c r="A13" s="4" t="n">
        <v>2</v>
      </c>
      <c r="B13" s="5" t="s">
        <v>43</v>
      </c>
      <c r="C13" s="4" t="n">
        <v>2</v>
      </c>
      <c r="D13" s="4" t="s">
        <v>41</v>
      </c>
      <c r="E13" s="4" t="n">
        <v>8</v>
      </c>
      <c r="F13" s="4" t="s">
        <v>42</v>
      </c>
      <c r="G13" s="6" t="n">
        <v>1559000</v>
      </c>
      <c r="H13" s="6" t="n">
        <f aca="false">C13*IF(E13="",1,E13)*G13</f>
        <v>24944000</v>
      </c>
    </row>
    <row r="14" customFormat="false" ht="15" hidden="false" customHeight="false" outlineLevel="0" collapsed="false">
      <c r="A14" s="4" t="n">
        <v>3</v>
      </c>
      <c r="B14" s="5" t="s">
        <v>44</v>
      </c>
      <c r="C14" s="4" t="n">
        <v>1</v>
      </c>
      <c r="D14" s="4" t="s">
        <v>41</v>
      </c>
      <c r="E14" s="4" t="n">
        <v>1</v>
      </c>
      <c r="F14" s="4" t="s">
        <v>45</v>
      </c>
      <c r="G14" s="6" t="n">
        <v>5715000</v>
      </c>
      <c r="H14" s="6" t="n">
        <f aca="false">C14*IF(E14="",1,E14)*G14</f>
        <v>5715000</v>
      </c>
    </row>
    <row r="15" customFormat="false" ht="15" hidden="false" customHeight="false" outlineLevel="0" collapsed="false">
      <c r="A15" s="4" t="n">
        <v>4</v>
      </c>
      <c r="B15" s="5" t="s">
        <v>46</v>
      </c>
      <c r="C15" s="4" t="n">
        <v>2</v>
      </c>
      <c r="D15" s="4" t="s">
        <v>41</v>
      </c>
      <c r="E15" s="4" t="n">
        <v>20</v>
      </c>
      <c r="F15" s="4" t="s">
        <v>47</v>
      </c>
      <c r="G15" s="6" t="n">
        <v>296725</v>
      </c>
      <c r="H15" s="6" t="n">
        <f aca="false">C15*IF(E15="",1,E15)*G15</f>
        <v>11869000</v>
      </c>
    </row>
    <row r="16" customFormat="false" ht="15" hidden="false" customHeight="false" outlineLevel="0" collapsed="false">
      <c r="A16" s="21" t="s">
        <v>48</v>
      </c>
      <c r="B16" s="21"/>
      <c r="C16" s="21"/>
      <c r="D16" s="21"/>
      <c r="E16" s="21"/>
      <c r="F16" s="21"/>
      <c r="G16" s="21"/>
      <c r="H16" s="22" t="n">
        <f aca="false">SUM(H12:H15)</f>
        <v>55000000</v>
      </c>
    </row>
    <row r="17" customFormat="false" ht="15" hidden="false" customHeight="true" outlineLevel="0" collapsed="false">
      <c r="A17" s="19" t="s">
        <v>49</v>
      </c>
      <c r="B17" s="19"/>
      <c r="C17" s="19"/>
      <c r="D17" s="19"/>
      <c r="E17" s="19"/>
      <c r="F17" s="19"/>
      <c r="G17" s="20"/>
      <c r="H17" s="20"/>
    </row>
    <row r="18" customFormat="false" ht="15" hidden="false" customHeight="false" outlineLevel="0" collapsed="false">
      <c r="A18" s="4" t="n">
        <v>1</v>
      </c>
      <c r="B18" s="5" t="s">
        <v>50</v>
      </c>
      <c r="C18" s="4" t="n">
        <v>1</v>
      </c>
      <c r="D18" s="4" t="s">
        <v>51</v>
      </c>
      <c r="E18" s="4"/>
      <c r="F18" s="4" t="s">
        <v>52</v>
      </c>
      <c r="G18" s="6" t="n">
        <v>20000000</v>
      </c>
      <c r="H18" s="6" t="n">
        <f aca="false">C18*IF(E18="",1,E18)*G18</f>
        <v>20000000</v>
      </c>
    </row>
    <row r="19" customFormat="false" ht="15" hidden="false" customHeight="false" outlineLevel="0" collapsed="false">
      <c r="A19" s="4" t="n">
        <v>2</v>
      </c>
      <c r="B19" s="5" t="s">
        <v>53</v>
      </c>
      <c r="C19" s="4" t="n">
        <v>1</v>
      </c>
      <c r="D19" s="4" t="s">
        <v>51</v>
      </c>
      <c r="E19" s="4"/>
      <c r="F19" s="4" t="s">
        <v>52</v>
      </c>
      <c r="G19" s="6" t="n">
        <v>20000000</v>
      </c>
      <c r="H19" s="6" t="n">
        <f aca="false">C19*IF(E19="",1,E19)*G19</f>
        <v>20000000</v>
      </c>
    </row>
    <row r="20" customFormat="false" ht="15" hidden="false" customHeight="false" outlineLevel="0" collapsed="false">
      <c r="A20" s="4" t="n">
        <v>3</v>
      </c>
      <c r="B20" s="5" t="s">
        <v>54</v>
      </c>
      <c r="C20" s="4" t="n">
        <v>1</v>
      </c>
      <c r="D20" s="4" t="s">
        <v>51</v>
      </c>
      <c r="E20" s="4"/>
      <c r="F20" s="4" t="s">
        <v>52</v>
      </c>
      <c r="G20" s="6" t="n">
        <v>20000000</v>
      </c>
      <c r="H20" s="6" t="n">
        <f aca="false">C20*IF(E20="",1,E20)*G20</f>
        <v>20000000</v>
      </c>
    </row>
    <row r="21" customFormat="false" ht="15" hidden="false" customHeight="false" outlineLevel="0" collapsed="false">
      <c r="A21" s="21" t="s">
        <v>55</v>
      </c>
      <c r="B21" s="21"/>
      <c r="C21" s="21"/>
      <c r="D21" s="21"/>
      <c r="E21" s="21"/>
      <c r="F21" s="21"/>
      <c r="G21" s="21"/>
      <c r="H21" s="22" t="n">
        <f aca="false">SUM(H18:H20)</f>
        <v>60000000</v>
      </c>
    </row>
    <row r="22" customFormat="false" ht="15" hidden="false" customHeight="true" outlineLevel="0" collapsed="false">
      <c r="A22" s="19" t="s">
        <v>56</v>
      </c>
      <c r="B22" s="19"/>
      <c r="C22" s="19"/>
      <c r="D22" s="19"/>
      <c r="E22" s="19"/>
      <c r="F22" s="19"/>
      <c r="G22" s="20"/>
      <c r="H22" s="20"/>
    </row>
    <row r="23" customFormat="false" ht="15" hidden="false" customHeight="false" outlineLevel="0" collapsed="false">
      <c r="A23" s="4" t="n">
        <v>1</v>
      </c>
      <c r="B23" s="5" t="s">
        <v>57</v>
      </c>
      <c r="C23" s="4" t="n">
        <v>1</v>
      </c>
      <c r="D23" s="4" t="s">
        <v>47</v>
      </c>
      <c r="E23" s="4"/>
      <c r="F23" s="4" t="s">
        <v>52</v>
      </c>
      <c r="G23" s="6" t="n">
        <v>10000000</v>
      </c>
      <c r="H23" s="6" t="n">
        <f aca="false">C23*IF(E23="",1,E23)*G23</f>
        <v>10000000</v>
      </c>
    </row>
    <row r="24" customFormat="false" ht="15" hidden="false" customHeight="false" outlineLevel="0" collapsed="false">
      <c r="A24" s="4" t="n">
        <v>2</v>
      </c>
      <c r="B24" s="5" t="s">
        <v>58</v>
      </c>
      <c r="C24" s="4" t="n">
        <v>1</v>
      </c>
      <c r="D24" s="4" t="s">
        <v>51</v>
      </c>
      <c r="E24" s="4"/>
      <c r="F24" s="4" t="s">
        <v>52</v>
      </c>
      <c r="G24" s="6" t="n">
        <v>10000000</v>
      </c>
      <c r="H24" s="6" t="n">
        <f aca="false">C24*IF(E24="",1,E24)*G24</f>
        <v>10000000</v>
      </c>
    </row>
    <row r="25" customFormat="false" ht="15" hidden="false" customHeight="false" outlineLevel="0" collapsed="false">
      <c r="A25" s="4" t="n">
        <v>3</v>
      </c>
      <c r="B25" s="5" t="s">
        <v>59</v>
      </c>
      <c r="C25" s="4" t="n">
        <v>1</v>
      </c>
      <c r="D25" s="4" t="s">
        <v>60</v>
      </c>
      <c r="E25" s="4"/>
      <c r="F25" s="4" t="s">
        <v>52</v>
      </c>
      <c r="G25" s="6" t="n">
        <v>10000000</v>
      </c>
      <c r="H25" s="6" t="n">
        <f aca="false">C25*IF(E25="",1,E25)*G25</f>
        <v>10000000</v>
      </c>
    </row>
    <row r="26" customFormat="false" ht="15" hidden="false" customHeight="false" outlineLevel="0" collapsed="false">
      <c r="A26" s="21" t="s">
        <v>61</v>
      </c>
      <c r="B26" s="21"/>
      <c r="C26" s="21"/>
      <c r="D26" s="21"/>
      <c r="E26" s="21"/>
      <c r="F26" s="21"/>
      <c r="G26" s="21"/>
      <c r="H26" s="22" t="n">
        <f aca="false">SUM(H23:H25)</f>
        <v>30000000</v>
      </c>
    </row>
    <row r="27" customFormat="false" ht="15" hidden="false" customHeight="true" outlineLevel="0" collapsed="false">
      <c r="A27" s="19" t="s">
        <v>62</v>
      </c>
      <c r="B27" s="19"/>
      <c r="C27" s="19"/>
      <c r="D27" s="19"/>
      <c r="E27" s="19"/>
      <c r="F27" s="19"/>
      <c r="G27" s="20"/>
      <c r="H27" s="20"/>
    </row>
    <row r="28" customFormat="false" ht="15" hidden="false" customHeight="false" outlineLevel="0" collapsed="false">
      <c r="A28" s="4" t="n">
        <v>1</v>
      </c>
      <c r="B28" s="5" t="s">
        <v>63</v>
      </c>
      <c r="C28" s="4" t="n">
        <v>1</v>
      </c>
      <c r="D28" s="4" t="s">
        <v>47</v>
      </c>
      <c r="E28" s="4"/>
      <c r="F28" s="4" t="s">
        <v>52</v>
      </c>
      <c r="G28" s="6" t="n">
        <v>15000000</v>
      </c>
      <c r="H28" s="6" t="n">
        <f aca="false">C28*IF(E28="",1,E28)*G28</f>
        <v>15000000</v>
      </c>
    </row>
    <row r="29" customFormat="false" ht="15" hidden="false" customHeight="false" outlineLevel="0" collapsed="false">
      <c r="A29" s="4" t="n">
        <v>2</v>
      </c>
      <c r="B29" s="5" t="s">
        <v>64</v>
      </c>
      <c r="C29" s="4" t="n">
        <v>1</v>
      </c>
      <c r="D29" s="4" t="s">
        <v>65</v>
      </c>
      <c r="E29" s="4"/>
      <c r="F29" s="4" t="s">
        <v>52</v>
      </c>
      <c r="G29" s="6" t="n">
        <v>15000000</v>
      </c>
      <c r="H29" s="6" t="n">
        <f aca="false">C29*IF(E29="",1,E29)*G29</f>
        <v>15000000</v>
      </c>
    </row>
    <row r="30" customFormat="false" ht="15" hidden="false" customHeight="false" outlineLevel="0" collapsed="false">
      <c r="A30" s="21" t="s">
        <v>66</v>
      </c>
      <c r="B30" s="21"/>
      <c r="C30" s="21"/>
      <c r="D30" s="21"/>
      <c r="E30" s="21"/>
      <c r="F30" s="21"/>
      <c r="G30" s="21"/>
      <c r="H30" s="22" t="n">
        <f aca="false">SUM(H28:H29)</f>
        <v>30000000</v>
      </c>
    </row>
    <row r="31" customFormat="false" ht="15" hidden="false" customHeight="true" outlineLevel="0" collapsed="false">
      <c r="A31" s="19" t="s">
        <v>67</v>
      </c>
      <c r="B31" s="19"/>
      <c r="C31" s="19"/>
      <c r="D31" s="19"/>
      <c r="E31" s="19"/>
      <c r="F31" s="19"/>
      <c r="G31" s="20"/>
      <c r="H31" s="20"/>
    </row>
    <row r="32" customFormat="false" ht="15" hidden="false" customHeight="false" outlineLevel="0" collapsed="false">
      <c r="A32" s="4" t="n">
        <v>1</v>
      </c>
      <c r="B32" s="5" t="s">
        <v>68</v>
      </c>
      <c r="C32" s="4" t="n">
        <v>1</v>
      </c>
      <c r="D32" s="4" t="s">
        <v>69</v>
      </c>
      <c r="E32" s="4"/>
      <c r="F32" s="4" t="s">
        <v>52</v>
      </c>
      <c r="G32" s="6" t="n">
        <v>10000000</v>
      </c>
      <c r="H32" s="6" t="n">
        <f aca="false">C32*IF(E32="",1,E32)*G32</f>
        <v>10000000</v>
      </c>
    </row>
    <row r="33" customFormat="false" ht="15" hidden="false" customHeight="false" outlineLevel="0" collapsed="false">
      <c r="A33" s="4" t="n">
        <v>2</v>
      </c>
      <c r="B33" s="5" t="s">
        <v>70</v>
      </c>
      <c r="C33" s="4" t="n">
        <v>1</v>
      </c>
      <c r="D33" s="4" t="s">
        <v>45</v>
      </c>
      <c r="E33" s="4"/>
      <c r="F33" s="4" t="s">
        <v>52</v>
      </c>
      <c r="G33" s="6" t="n">
        <v>10000000</v>
      </c>
      <c r="H33" s="6" t="n">
        <f aca="false">C33*IF(E33="",1,E33)*G33</f>
        <v>10000000</v>
      </c>
    </row>
    <row r="34" customFormat="false" ht="15" hidden="false" customHeight="false" outlineLevel="0" collapsed="false">
      <c r="A34" s="21" t="s">
        <v>71</v>
      </c>
      <c r="B34" s="21"/>
      <c r="C34" s="21"/>
      <c r="D34" s="21"/>
      <c r="E34" s="21"/>
      <c r="F34" s="21"/>
      <c r="G34" s="21"/>
      <c r="H34" s="22" t="n">
        <f aca="false">SUM(H32:H33)</f>
        <v>20000000</v>
      </c>
    </row>
    <row r="35" customFormat="false" ht="15" hidden="false" customHeight="true" outlineLevel="0" collapsed="false">
      <c r="A35" s="23" t="s">
        <v>72</v>
      </c>
      <c r="B35" s="23"/>
      <c r="C35" s="23"/>
      <c r="D35" s="23"/>
      <c r="E35" s="23"/>
      <c r="F35" s="23"/>
      <c r="G35" s="24"/>
      <c r="H35" s="24"/>
    </row>
    <row r="36" customFormat="false" ht="15" hidden="false" customHeight="false" outlineLevel="0" collapsed="false">
      <c r="A36" s="4" t="n">
        <v>1</v>
      </c>
      <c r="B36" s="5" t="s">
        <v>73</v>
      </c>
      <c r="C36" s="4" t="n">
        <v>1</v>
      </c>
      <c r="D36" s="4" t="s">
        <v>74</v>
      </c>
      <c r="E36" s="4"/>
      <c r="F36" s="4" t="s">
        <v>52</v>
      </c>
      <c r="G36" s="6" t="n">
        <v>35000000</v>
      </c>
      <c r="H36" s="6" t="n">
        <f aca="false">C36*IF(E36="",1,E36)*G36</f>
        <v>35000000</v>
      </c>
    </row>
    <row r="37" customFormat="false" ht="15" hidden="false" customHeight="false" outlineLevel="0" collapsed="false">
      <c r="A37" s="21" t="s">
        <v>75</v>
      </c>
      <c r="B37" s="21"/>
      <c r="C37" s="21"/>
      <c r="D37" s="21"/>
      <c r="E37" s="21"/>
      <c r="F37" s="21"/>
      <c r="G37" s="21"/>
      <c r="H37" s="22" t="n">
        <f aca="false">SUM(H36:H36)</f>
        <v>35000000</v>
      </c>
    </row>
    <row r="38" customFormat="false" ht="15" hidden="false" customHeight="true" outlineLevel="0" collapsed="false">
      <c r="A38" s="19" t="s">
        <v>76</v>
      </c>
      <c r="B38" s="19"/>
      <c r="C38" s="19"/>
      <c r="D38" s="19"/>
      <c r="E38" s="19"/>
      <c r="F38" s="19"/>
      <c r="G38" s="20"/>
      <c r="H38" s="20"/>
    </row>
    <row r="39" customFormat="false" ht="15" hidden="false" customHeight="false" outlineLevel="0" collapsed="false">
      <c r="A39" s="4" t="n">
        <v>1</v>
      </c>
      <c r="B39" s="5" t="s">
        <v>77</v>
      </c>
      <c r="C39" s="4" t="n">
        <v>1</v>
      </c>
      <c r="D39" s="4" t="s">
        <v>78</v>
      </c>
      <c r="E39" s="4"/>
      <c r="F39" s="4" t="s">
        <v>52</v>
      </c>
      <c r="G39" s="6" t="n">
        <v>6666666</v>
      </c>
      <c r="H39" s="6" t="n">
        <f aca="false">C39*IF(E39="",1,E39)*G39</f>
        <v>6666666</v>
      </c>
    </row>
    <row r="40" customFormat="false" ht="15" hidden="false" customHeight="false" outlineLevel="0" collapsed="false">
      <c r="A40" s="4" t="n">
        <v>2</v>
      </c>
      <c r="B40" s="5" t="s">
        <v>79</v>
      </c>
      <c r="C40" s="4" t="n">
        <v>1</v>
      </c>
      <c r="D40" s="4" t="s">
        <v>80</v>
      </c>
      <c r="E40" s="4"/>
      <c r="F40" s="4" t="s">
        <v>52</v>
      </c>
      <c r="G40" s="6" t="n">
        <v>6666666</v>
      </c>
      <c r="H40" s="6" t="n">
        <f aca="false">C40*IF(E40="",1,E40)*G40</f>
        <v>6666666</v>
      </c>
    </row>
    <row r="41" customFormat="false" ht="15" hidden="false" customHeight="false" outlineLevel="0" collapsed="false">
      <c r="A41" s="4" t="n">
        <v>3</v>
      </c>
      <c r="B41" s="5" t="s">
        <v>81</v>
      </c>
      <c r="C41" s="4" t="n">
        <v>1</v>
      </c>
      <c r="D41" s="4" t="s">
        <v>51</v>
      </c>
      <c r="E41" s="4"/>
      <c r="F41" s="4" t="s">
        <v>52</v>
      </c>
      <c r="G41" s="6" t="n">
        <v>6666668</v>
      </c>
      <c r="H41" s="6" t="n">
        <f aca="false">C41*IF(E41="",1,E41)*G41</f>
        <v>6666668</v>
      </c>
    </row>
    <row r="42" customFormat="false" ht="15" hidden="false" customHeight="false" outlineLevel="0" collapsed="false">
      <c r="A42" s="21" t="s">
        <v>82</v>
      </c>
      <c r="B42" s="21"/>
      <c r="C42" s="21"/>
      <c r="D42" s="21"/>
      <c r="E42" s="21"/>
      <c r="F42" s="21"/>
      <c r="G42" s="21"/>
      <c r="H42" s="22" t="n">
        <f aca="false">SUM(H39:H41)</f>
        <v>20000000</v>
      </c>
    </row>
    <row r="43" customFormat="false" ht="15" hidden="false" customHeight="false" outlineLevel="0" collapsed="false">
      <c r="A43" s="25" t="s">
        <v>83</v>
      </c>
      <c r="B43" s="25"/>
      <c r="C43" s="25"/>
      <c r="D43" s="25"/>
      <c r="E43" s="25"/>
      <c r="F43" s="25"/>
      <c r="G43" s="25"/>
      <c r="H43" s="26" t="n">
        <f aca="false">H16+H21+H26+H30+H34+H37+H42</f>
        <v>250000000</v>
      </c>
    </row>
    <row r="45" customFormat="false" ht="15" hidden="false" customHeight="false" outlineLevel="0" collapsed="false">
      <c r="B45" s="27" t="s">
        <v>84</v>
      </c>
    </row>
    <row r="46" customFormat="false" ht="15" hidden="false" customHeight="false" outlineLevel="0" collapsed="false">
      <c r="B46" s="28" t="s">
        <v>85</v>
      </c>
      <c r="G46" s="29" t="n">
        <f aca="false">H16+H21+H26+H30+H34+H42</f>
        <v>215000000</v>
      </c>
      <c r="H46" s="30" t="n">
        <f aca="false">IFERROR(G46/H43,"")</f>
        <v>0.86</v>
      </c>
    </row>
    <row r="47" customFormat="false" ht="15" hidden="false" customHeight="false" outlineLevel="0" collapsed="false">
      <c r="B47" s="28" t="s">
        <v>86</v>
      </c>
      <c r="G47" s="29" t="n">
        <f aca="false">H37</f>
        <v>35000000</v>
      </c>
      <c r="H47" s="30" t="n">
        <f aca="false">IFERROR(G47/H43,"")</f>
        <v>0.14</v>
      </c>
    </row>
    <row r="49" customFormat="false" ht="15" hidden="false" customHeight="false" outlineLevel="0" collapsed="false">
      <c r="A49" s="31" t="s">
        <v>87</v>
      </c>
    </row>
    <row r="50" customFormat="false" ht="15" hidden="false" customHeight="true" outlineLevel="0" collapsed="false">
      <c r="A50" s="12" t="s">
        <v>101</v>
      </c>
      <c r="B50" s="12"/>
      <c r="C50" s="12"/>
      <c r="D50" s="12"/>
      <c r="E50" s="12"/>
      <c r="F50" s="12"/>
      <c r="G50" s="12"/>
      <c r="H50" s="12"/>
    </row>
    <row r="51" customFormat="false" ht="15" hidden="false" customHeight="true" outlineLevel="0" collapsed="false">
      <c r="A51" s="12" t="s">
        <v>89</v>
      </c>
      <c r="B51" s="12"/>
      <c r="C51" s="12"/>
      <c r="D51" s="12"/>
      <c r="E51" s="12"/>
      <c r="F51" s="12"/>
      <c r="G51" s="12"/>
      <c r="H51" s="12"/>
    </row>
    <row r="52" customFormat="false" ht="15" hidden="false" customHeight="true" outlineLevel="0" collapsed="false">
      <c r="A52" s="12" t="s">
        <v>102</v>
      </c>
      <c r="B52" s="12"/>
      <c r="C52" s="12"/>
      <c r="D52" s="12"/>
      <c r="E52" s="12"/>
      <c r="F52" s="12"/>
      <c r="G52" s="12"/>
      <c r="H52" s="12"/>
    </row>
    <row r="53" customFormat="false" ht="15" hidden="false" customHeight="true" outlineLevel="0" collapsed="false">
      <c r="A53" s="12" t="s">
        <v>91</v>
      </c>
      <c r="B53" s="12"/>
      <c r="C53" s="12"/>
      <c r="D53" s="12"/>
      <c r="E53" s="12"/>
      <c r="F53" s="12"/>
      <c r="G53" s="12"/>
      <c r="H53" s="12"/>
    </row>
  </sheetData>
  <mergeCells count="30">
    <mergeCell ref="A1:H1"/>
    <mergeCell ref="A2:H2"/>
    <mergeCell ref="A3:H3"/>
    <mergeCell ref="A5:B5"/>
    <mergeCell ref="C5:H5"/>
    <mergeCell ref="A6:B6"/>
    <mergeCell ref="C6:H6"/>
    <mergeCell ref="A7:B7"/>
    <mergeCell ref="C7:E7"/>
    <mergeCell ref="A8:B8"/>
    <mergeCell ref="C8:H8"/>
    <mergeCell ref="A11:F11"/>
    <mergeCell ref="A16:G16"/>
    <mergeCell ref="A17:F17"/>
    <mergeCell ref="A21:G21"/>
    <mergeCell ref="A22:F22"/>
    <mergeCell ref="A26:G26"/>
    <mergeCell ref="A27:F27"/>
    <mergeCell ref="A30:G30"/>
    <mergeCell ref="A31:F31"/>
    <mergeCell ref="A34:G34"/>
    <mergeCell ref="A35:F35"/>
    <mergeCell ref="A37:G37"/>
    <mergeCell ref="A38:F38"/>
    <mergeCell ref="A42:G42"/>
    <mergeCell ref="A43:G43"/>
    <mergeCell ref="A50:H50"/>
    <mergeCell ref="A51:H51"/>
    <mergeCell ref="A52:H52"/>
    <mergeCell ref="A53:H53"/>
  </mergeCells>
  <printOptions headings="false" gridLines="false" gridLinesSet="true" horizontalCentered="tru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5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4"/>
    <col collapsed="false" customWidth="true" hidden="false" outlineLevel="0" max="3" min="3" style="0" width="7"/>
    <col collapsed="false" customWidth="true" hidden="false" outlineLevel="0" max="4" min="4" style="0" width="8"/>
    <col collapsed="false" customWidth="true" hidden="false" outlineLevel="0" max="5" min="5" style="0" width="7"/>
    <col collapsed="false" customWidth="true" hidden="false" outlineLevel="0" max="6" min="6" style="0" width="8"/>
    <col collapsed="false" customWidth="true" hidden="false" outlineLevel="0" max="7" min="7" style="0" width="15"/>
    <col collapsed="false" customWidth="true" hidden="false" outlineLevel="0" max="8" min="8" style="0" width="17"/>
  </cols>
  <sheetData>
    <row r="1" customFormat="false" ht="17.35" hidden="false" customHeight="true" outlineLevel="0" collapsed="false">
      <c r="A1" s="13" t="s">
        <v>23</v>
      </c>
      <c r="B1" s="13"/>
      <c r="C1" s="13"/>
      <c r="D1" s="13"/>
      <c r="E1" s="13"/>
      <c r="F1" s="13"/>
      <c r="G1" s="13"/>
      <c r="H1" s="13"/>
    </row>
    <row r="2" customFormat="false" ht="15" hidden="false" customHeight="true" outlineLevel="0" collapsed="false">
      <c r="A2" s="14" t="s">
        <v>14</v>
      </c>
      <c r="B2" s="14"/>
      <c r="C2" s="14"/>
      <c r="D2" s="14"/>
      <c r="E2" s="14"/>
      <c r="F2" s="14"/>
      <c r="G2" s="14"/>
      <c r="H2" s="14"/>
    </row>
    <row r="3" customFormat="false" ht="15" hidden="false" customHeight="true" outlineLevel="0" collapsed="false">
      <c r="A3" s="15" t="s">
        <v>103</v>
      </c>
      <c r="B3" s="15"/>
      <c r="C3" s="15"/>
      <c r="D3" s="15"/>
      <c r="E3" s="15"/>
      <c r="F3" s="15"/>
      <c r="G3" s="15"/>
      <c r="H3" s="15"/>
    </row>
    <row r="5" customFormat="false" ht="15" hidden="false" customHeight="false" outlineLevel="0" collapsed="false">
      <c r="A5" s="16" t="s">
        <v>25</v>
      </c>
      <c r="B5" s="16"/>
      <c r="C5" s="17" t="s">
        <v>26</v>
      </c>
      <c r="D5" s="17"/>
      <c r="E5" s="17"/>
      <c r="F5" s="17"/>
      <c r="G5" s="17"/>
      <c r="H5" s="17"/>
    </row>
    <row r="6" customFormat="false" ht="15" hidden="false" customHeight="false" outlineLevel="0" collapsed="false">
      <c r="A6" s="16" t="s">
        <v>27</v>
      </c>
      <c r="B6" s="16"/>
      <c r="C6" s="17" t="s">
        <v>28</v>
      </c>
      <c r="D6" s="17"/>
      <c r="E6" s="17"/>
      <c r="F6" s="17"/>
      <c r="G6" s="17"/>
      <c r="H6" s="17"/>
    </row>
    <row r="7" customFormat="false" ht="15" hidden="false" customHeight="false" outlineLevel="0" collapsed="false">
      <c r="A7" s="16" t="s">
        <v>29</v>
      </c>
      <c r="B7" s="16"/>
      <c r="C7" s="18" t="n">
        <v>700000000</v>
      </c>
      <c r="D7" s="18"/>
      <c r="E7" s="18"/>
    </row>
    <row r="8" customFormat="false" ht="15" hidden="false" customHeight="false" outlineLevel="0" collapsed="false">
      <c r="A8" s="16" t="s">
        <v>30</v>
      </c>
      <c r="B8" s="16"/>
      <c r="C8" s="17" t="s">
        <v>104</v>
      </c>
      <c r="D8" s="17"/>
      <c r="E8" s="17"/>
      <c r="F8" s="17"/>
      <c r="G8" s="17"/>
      <c r="H8" s="17"/>
    </row>
    <row r="10" customFormat="false" ht="23.85" hidden="false" customHeight="false" outlineLevel="0" collapsed="false">
      <c r="A10" s="3" t="s">
        <v>2</v>
      </c>
      <c r="B10" s="3" t="s">
        <v>32</v>
      </c>
      <c r="C10" s="3" t="s">
        <v>33</v>
      </c>
      <c r="D10" s="3" t="s">
        <v>34</v>
      </c>
      <c r="E10" s="3" t="s">
        <v>35</v>
      </c>
      <c r="F10" s="3" t="s">
        <v>36</v>
      </c>
      <c r="G10" s="3" t="s">
        <v>37</v>
      </c>
      <c r="H10" s="3" t="s">
        <v>38</v>
      </c>
    </row>
    <row r="11" customFormat="false" ht="15" hidden="false" customHeight="true" outlineLevel="0" collapsed="false">
      <c r="A11" s="19" t="s">
        <v>39</v>
      </c>
      <c r="B11" s="19"/>
      <c r="C11" s="19"/>
      <c r="D11" s="19"/>
      <c r="E11" s="19"/>
      <c r="F11" s="19"/>
      <c r="G11" s="20"/>
      <c r="H11" s="20"/>
    </row>
    <row r="12" customFormat="false" ht="15" hidden="false" customHeight="false" outlineLevel="0" collapsed="false">
      <c r="A12" s="4" t="n">
        <v>1</v>
      </c>
      <c r="B12" s="5" t="s">
        <v>40</v>
      </c>
      <c r="C12" s="4" t="n">
        <v>1</v>
      </c>
      <c r="D12" s="4" t="s">
        <v>41</v>
      </c>
      <c r="E12" s="4" t="n">
        <v>8</v>
      </c>
      <c r="F12" s="4" t="s">
        <v>42</v>
      </c>
      <c r="G12" s="6" t="n">
        <v>4364000</v>
      </c>
      <c r="H12" s="6" t="n">
        <f aca="false">C12*IF(E12="",1,E12)*G12</f>
        <v>34912000</v>
      </c>
    </row>
    <row r="13" customFormat="false" ht="15" hidden="false" customHeight="false" outlineLevel="0" collapsed="false">
      <c r="A13" s="4" t="n">
        <v>2</v>
      </c>
      <c r="B13" s="5" t="s">
        <v>43</v>
      </c>
      <c r="C13" s="4" t="n">
        <v>2</v>
      </c>
      <c r="D13" s="4" t="s">
        <v>41</v>
      </c>
      <c r="E13" s="4" t="n">
        <v>8</v>
      </c>
      <c r="F13" s="4" t="s">
        <v>42</v>
      </c>
      <c r="G13" s="6" t="n">
        <v>4364000</v>
      </c>
      <c r="H13" s="6" t="n">
        <f aca="false">C13*IF(E13="",1,E13)*G13</f>
        <v>69824000</v>
      </c>
    </row>
    <row r="14" customFormat="false" ht="15" hidden="false" customHeight="false" outlineLevel="0" collapsed="false">
      <c r="A14" s="4" t="n">
        <v>3</v>
      </c>
      <c r="B14" s="5" t="s">
        <v>44</v>
      </c>
      <c r="C14" s="4" t="n">
        <v>1</v>
      </c>
      <c r="D14" s="4" t="s">
        <v>41</v>
      </c>
      <c r="E14" s="4" t="n">
        <v>1</v>
      </c>
      <c r="F14" s="4" t="s">
        <v>45</v>
      </c>
      <c r="G14" s="6" t="n">
        <v>16003000</v>
      </c>
      <c r="H14" s="6" t="n">
        <f aca="false">C14*IF(E14="",1,E14)*G14</f>
        <v>16003000</v>
      </c>
    </row>
    <row r="15" customFormat="false" ht="15" hidden="false" customHeight="false" outlineLevel="0" collapsed="false">
      <c r="A15" s="4" t="n">
        <v>4</v>
      </c>
      <c r="B15" s="5" t="s">
        <v>46</v>
      </c>
      <c r="C15" s="4" t="n">
        <v>2</v>
      </c>
      <c r="D15" s="4" t="s">
        <v>41</v>
      </c>
      <c r="E15" s="4" t="n">
        <v>20</v>
      </c>
      <c r="F15" s="4" t="s">
        <v>47</v>
      </c>
      <c r="G15" s="6" t="n">
        <v>831525</v>
      </c>
      <c r="H15" s="6" t="n">
        <f aca="false">C15*IF(E15="",1,E15)*G15</f>
        <v>33261000</v>
      </c>
    </row>
    <row r="16" customFormat="false" ht="15" hidden="false" customHeight="false" outlineLevel="0" collapsed="false">
      <c r="A16" s="21" t="s">
        <v>48</v>
      </c>
      <c r="B16" s="21"/>
      <c r="C16" s="21"/>
      <c r="D16" s="21"/>
      <c r="E16" s="21"/>
      <c r="F16" s="21"/>
      <c r="G16" s="21"/>
      <c r="H16" s="22" t="n">
        <f aca="false">SUM(H12:H15)</f>
        <v>154000000</v>
      </c>
    </row>
    <row r="17" customFormat="false" ht="15" hidden="false" customHeight="true" outlineLevel="0" collapsed="false">
      <c r="A17" s="19" t="s">
        <v>49</v>
      </c>
      <c r="B17" s="19"/>
      <c r="C17" s="19"/>
      <c r="D17" s="19"/>
      <c r="E17" s="19"/>
      <c r="F17" s="19"/>
      <c r="G17" s="20"/>
      <c r="H17" s="20"/>
    </row>
    <row r="18" customFormat="false" ht="15" hidden="false" customHeight="false" outlineLevel="0" collapsed="false">
      <c r="A18" s="4" t="n">
        <v>1</v>
      </c>
      <c r="B18" s="5" t="s">
        <v>50</v>
      </c>
      <c r="C18" s="4" t="n">
        <v>1</v>
      </c>
      <c r="D18" s="4" t="s">
        <v>51</v>
      </c>
      <c r="E18" s="4"/>
      <c r="F18" s="4" t="s">
        <v>52</v>
      </c>
      <c r="G18" s="6" t="n">
        <v>56000000</v>
      </c>
      <c r="H18" s="6" t="n">
        <f aca="false">C18*IF(E18="",1,E18)*G18</f>
        <v>56000000</v>
      </c>
    </row>
    <row r="19" customFormat="false" ht="15" hidden="false" customHeight="false" outlineLevel="0" collapsed="false">
      <c r="A19" s="4" t="n">
        <v>2</v>
      </c>
      <c r="B19" s="5" t="s">
        <v>53</v>
      </c>
      <c r="C19" s="4" t="n">
        <v>1</v>
      </c>
      <c r="D19" s="4" t="s">
        <v>51</v>
      </c>
      <c r="E19" s="4"/>
      <c r="F19" s="4" t="s">
        <v>52</v>
      </c>
      <c r="G19" s="6" t="n">
        <v>56000000</v>
      </c>
      <c r="H19" s="6" t="n">
        <f aca="false">C19*IF(E19="",1,E19)*G19</f>
        <v>56000000</v>
      </c>
    </row>
    <row r="20" customFormat="false" ht="15" hidden="false" customHeight="false" outlineLevel="0" collapsed="false">
      <c r="A20" s="4" t="n">
        <v>3</v>
      </c>
      <c r="B20" s="5" t="s">
        <v>54</v>
      </c>
      <c r="C20" s="4" t="n">
        <v>1</v>
      </c>
      <c r="D20" s="4" t="s">
        <v>51</v>
      </c>
      <c r="E20" s="4"/>
      <c r="F20" s="4" t="s">
        <v>52</v>
      </c>
      <c r="G20" s="6" t="n">
        <v>56000000</v>
      </c>
      <c r="H20" s="6" t="n">
        <f aca="false">C20*IF(E20="",1,E20)*G20</f>
        <v>56000000</v>
      </c>
    </row>
    <row r="21" customFormat="false" ht="15" hidden="false" customHeight="false" outlineLevel="0" collapsed="false">
      <c r="A21" s="21" t="s">
        <v>55</v>
      </c>
      <c r="B21" s="21"/>
      <c r="C21" s="21"/>
      <c r="D21" s="21"/>
      <c r="E21" s="21"/>
      <c r="F21" s="21"/>
      <c r="G21" s="21"/>
      <c r="H21" s="22" t="n">
        <f aca="false">SUM(H18:H20)</f>
        <v>168000000</v>
      </c>
    </row>
    <row r="22" customFormat="false" ht="15" hidden="false" customHeight="true" outlineLevel="0" collapsed="false">
      <c r="A22" s="19" t="s">
        <v>56</v>
      </c>
      <c r="B22" s="19"/>
      <c r="C22" s="19"/>
      <c r="D22" s="19"/>
      <c r="E22" s="19"/>
      <c r="F22" s="19"/>
      <c r="G22" s="20"/>
      <c r="H22" s="20"/>
    </row>
    <row r="23" customFormat="false" ht="15" hidden="false" customHeight="false" outlineLevel="0" collapsed="false">
      <c r="A23" s="4" t="n">
        <v>1</v>
      </c>
      <c r="B23" s="5" t="s">
        <v>57</v>
      </c>
      <c r="C23" s="4" t="n">
        <v>1</v>
      </c>
      <c r="D23" s="4" t="s">
        <v>47</v>
      </c>
      <c r="E23" s="4"/>
      <c r="F23" s="4" t="s">
        <v>52</v>
      </c>
      <c r="G23" s="6" t="n">
        <v>28000000</v>
      </c>
      <c r="H23" s="6" t="n">
        <f aca="false">C23*IF(E23="",1,E23)*G23</f>
        <v>28000000</v>
      </c>
    </row>
    <row r="24" customFormat="false" ht="15" hidden="false" customHeight="false" outlineLevel="0" collapsed="false">
      <c r="A24" s="4" t="n">
        <v>2</v>
      </c>
      <c r="B24" s="5" t="s">
        <v>58</v>
      </c>
      <c r="C24" s="4" t="n">
        <v>1</v>
      </c>
      <c r="D24" s="4" t="s">
        <v>51</v>
      </c>
      <c r="E24" s="4"/>
      <c r="F24" s="4" t="s">
        <v>52</v>
      </c>
      <c r="G24" s="6" t="n">
        <v>28000000</v>
      </c>
      <c r="H24" s="6" t="n">
        <f aca="false">C24*IF(E24="",1,E24)*G24</f>
        <v>28000000</v>
      </c>
    </row>
    <row r="25" customFormat="false" ht="15" hidden="false" customHeight="false" outlineLevel="0" collapsed="false">
      <c r="A25" s="4" t="n">
        <v>3</v>
      </c>
      <c r="B25" s="5" t="s">
        <v>59</v>
      </c>
      <c r="C25" s="4" t="n">
        <v>1</v>
      </c>
      <c r="D25" s="4" t="s">
        <v>60</v>
      </c>
      <c r="E25" s="4"/>
      <c r="F25" s="4" t="s">
        <v>52</v>
      </c>
      <c r="G25" s="6" t="n">
        <v>28000000</v>
      </c>
      <c r="H25" s="6" t="n">
        <f aca="false">C25*IF(E25="",1,E25)*G25</f>
        <v>28000000</v>
      </c>
    </row>
    <row r="26" customFormat="false" ht="15" hidden="false" customHeight="false" outlineLevel="0" collapsed="false">
      <c r="A26" s="21" t="s">
        <v>61</v>
      </c>
      <c r="B26" s="21"/>
      <c r="C26" s="21"/>
      <c r="D26" s="21"/>
      <c r="E26" s="21"/>
      <c r="F26" s="21"/>
      <c r="G26" s="21"/>
      <c r="H26" s="22" t="n">
        <f aca="false">SUM(H23:H25)</f>
        <v>84000000</v>
      </c>
    </row>
    <row r="27" customFormat="false" ht="15" hidden="false" customHeight="true" outlineLevel="0" collapsed="false">
      <c r="A27" s="19" t="s">
        <v>62</v>
      </c>
      <c r="B27" s="19"/>
      <c r="C27" s="19"/>
      <c r="D27" s="19"/>
      <c r="E27" s="19"/>
      <c r="F27" s="19"/>
      <c r="G27" s="20"/>
      <c r="H27" s="20"/>
    </row>
    <row r="28" customFormat="false" ht="15" hidden="false" customHeight="false" outlineLevel="0" collapsed="false">
      <c r="A28" s="4" t="n">
        <v>1</v>
      </c>
      <c r="B28" s="5" t="s">
        <v>63</v>
      </c>
      <c r="C28" s="4" t="n">
        <v>1</v>
      </c>
      <c r="D28" s="4" t="s">
        <v>47</v>
      </c>
      <c r="E28" s="4"/>
      <c r="F28" s="4" t="s">
        <v>52</v>
      </c>
      <c r="G28" s="6" t="n">
        <v>42000000</v>
      </c>
      <c r="H28" s="6" t="n">
        <f aca="false">C28*IF(E28="",1,E28)*G28</f>
        <v>42000000</v>
      </c>
    </row>
    <row r="29" customFormat="false" ht="15" hidden="false" customHeight="false" outlineLevel="0" collapsed="false">
      <c r="A29" s="4" t="n">
        <v>2</v>
      </c>
      <c r="B29" s="5" t="s">
        <v>64</v>
      </c>
      <c r="C29" s="4" t="n">
        <v>1</v>
      </c>
      <c r="D29" s="4" t="s">
        <v>65</v>
      </c>
      <c r="E29" s="4"/>
      <c r="F29" s="4" t="s">
        <v>52</v>
      </c>
      <c r="G29" s="6" t="n">
        <v>42000000</v>
      </c>
      <c r="H29" s="6" t="n">
        <f aca="false">C29*IF(E29="",1,E29)*G29</f>
        <v>42000000</v>
      </c>
    </row>
    <row r="30" customFormat="false" ht="15" hidden="false" customHeight="false" outlineLevel="0" collapsed="false">
      <c r="A30" s="21" t="s">
        <v>66</v>
      </c>
      <c r="B30" s="21"/>
      <c r="C30" s="21"/>
      <c r="D30" s="21"/>
      <c r="E30" s="21"/>
      <c r="F30" s="21"/>
      <c r="G30" s="21"/>
      <c r="H30" s="22" t="n">
        <f aca="false">SUM(H28:H29)</f>
        <v>84000000</v>
      </c>
    </row>
    <row r="31" customFormat="false" ht="15" hidden="false" customHeight="true" outlineLevel="0" collapsed="false">
      <c r="A31" s="19" t="s">
        <v>67</v>
      </c>
      <c r="B31" s="19"/>
      <c r="C31" s="19"/>
      <c r="D31" s="19"/>
      <c r="E31" s="19"/>
      <c r="F31" s="19"/>
      <c r="G31" s="20"/>
      <c r="H31" s="20"/>
    </row>
    <row r="32" customFormat="false" ht="15" hidden="false" customHeight="false" outlineLevel="0" collapsed="false">
      <c r="A32" s="4" t="n">
        <v>1</v>
      </c>
      <c r="B32" s="5" t="s">
        <v>68</v>
      </c>
      <c r="C32" s="4" t="n">
        <v>1</v>
      </c>
      <c r="D32" s="4" t="s">
        <v>69</v>
      </c>
      <c r="E32" s="4"/>
      <c r="F32" s="4" t="s">
        <v>52</v>
      </c>
      <c r="G32" s="6" t="n">
        <v>28000000</v>
      </c>
      <c r="H32" s="6" t="n">
        <f aca="false">C32*IF(E32="",1,E32)*G32</f>
        <v>28000000</v>
      </c>
    </row>
    <row r="33" customFormat="false" ht="15" hidden="false" customHeight="false" outlineLevel="0" collapsed="false">
      <c r="A33" s="4" t="n">
        <v>2</v>
      </c>
      <c r="B33" s="5" t="s">
        <v>70</v>
      </c>
      <c r="C33" s="4" t="n">
        <v>1</v>
      </c>
      <c r="D33" s="4" t="s">
        <v>45</v>
      </c>
      <c r="E33" s="4"/>
      <c r="F33" s="4" t="s">
        <v>52</v>
      </c>
      <c r="G33" s="6" t="n">
        <v>28000000</v>
      </c>
      <c r="H33" s="6" t="n">
        <f aca="false">C33*IF(E33="",1,E33)*G33</f>
        <v>28000000</v>
      </c>
    </row>
    <row r="34" customFormat="false" ht="15" hidden="false" customHeight="false" outlineLevel="0" collapsed="false">
      <c r="A34" s="21" t="s">
        <v>71</v>
      </c>
      <c r="B34" s="21"/>
      <c r="C34" s="21"/>
      <c r="D34" s="21"/>
      <c r="E34" s="21"/>
      <c r="F34" s="21"/>
      <c r="G34" s="21"/>
      <c r="H34" s="22" t="n">
        <f aca="false">SUM(H32:H33)</f>
        <v>56000000</v>
      </c>
    </row>
    <row r="35" customFormat="false" ht="15" hidden="false" customHeight="true" outlineLevel="0" collapsed="false">
      <c r="A35" s="23" t="s">
        <v>72</v>
      </c>
      <c r="B35" s="23"/>
      <c r="C35" s="23"/>
      <c r="D35" s="23"/>
      <c r="E35" s="23"/>
      <c r="F35" s="23"/>
      <c r="G35" s="24"/>
      <c r="H35" s="24"/>
    </row>
    <row r="36" customFormat="false" ht="15" hidden="false" customHeight="false" outlineLevel="0" collapsed="false">
      <c r="A36" s="4" t="n">
        <v>1</v>
      </c>
      <c r="B36" s="5" t="s">
        <v>73</v>
      </c>
      <c r="C36" s="4" t="n">
        <v>1</v>
      </c>
      <c r="D36" s="4" t="s">
        <v>74</v>
      </c>
      <c r="E36" s="4"/>
      <c r="F36" s="4" t="s">
        <v>52</v>
      </c>
      <c r="G36" s="6" t="n">
        <v>98000000</v>
      </c>
      <c r="H36" s="6" t="n">
        <f aca="false">C36*IF(E36="",1,E36)*G36</f>
        <v>98000000</v>
      </c>
    </row>
    <row r="37" customFormat="false" ht="15" hidden="false" customHeight="false" outlineLevel="0" collapsed="false">
      <c r="A37" s="21" t="s">
        <v>75</v>
      </c>
      <c r="B37" s="21"/>
      <c r="C37" s="21"/>
      <c r="D37" s="21"/>
      <c r="E37" s="21"/>
      <c r="F37" s="21"/>
      <c r="G37" s="21"/>
      <c r="H37" s="22" t="n">
        <f aca="false">SUM(H36:H36)</f>
        <v>98000000</v>
      </c>
    </row>
    <row r="38" customFormat="false" ht="15" hidden="false" customHeight="true" outlineLevel="0" collapsed="false">
      <c r="A38" s="19" t="s">
        <v>76</v>
      </c>
      <c r="B38" s="19"/>
      <c r="C38" s="19"/>
      <c r="D38" s="19"/>
      <c r="E38" s="19"/>
      <c r="F38" s="19"/>
      <c r="G38" s="20"/>
      <c r="H38" s="20"/>
    </row>
    <row r="39" customFormat="false" ht="15" hidden="false" customHeight="false" outlineLevel="0" collapsed="false">
      <c r="A39" s="4" t="n">
        <v>1</v>
      </c>
      <c r="B39" s="5" t="s">
        <v>77</v>
      </c>
      <c r="C39" s="4" t="n">
        <v>1</v>
      </c>
      <c r="D39" s="4" t="s">
        <v>78</v>
      </c>
      <c r="E39" s="4"/>
      <c r="F39" s="4" t="s">
        <v>52</v>
      </c>
      <c r="G39" s="6" t="n">
        <v>18666666</v>
      </c>
      <c r="H39" s="6" t="n">
        <f aca="false">C39*IF(E39="",1,E39)*G39</f>
        <v>18666666</v>
      </c>
    </row>
    <row r="40" customFormat="false" ht="15" hidden="false" customHeight="false" outlineLevel="0" collapsed="false">
      <c r="A40" s="4" t="n">
        <v>2</v>
      </c>
      <c r="B40" s="5" t="s">
        <v>79</v>
      </c>
      <c r="C40" s="4" t="n">
        <v>1</v>
      </c>
      <c r="D40" s="4" t="s">
        <v>80</v>
      </c>
      <c r="E40" s="4"/>
      <c r="F40" s="4" t="s">
        <v>52</v>
      </c>
      <c r="G40" s="6" t="n">
        <v>18666666</v>
      </c>
      <c r="H40" s="6" t="n">
        <f aca="false">C40*IF(E40="",1,E40)*G40</f>
        <v>18666666</v>
      </c>
    </row>
    <row r="41" customFormat="false" ht="15" hidden="false" customHeight="false" outlineLevel="0" collapsed="false">
      <c r="A41" s="4" t="n">
        <v>3</v>
      </c>
      <c r="B41" s="5" t="s">
        <v>81</v>
      </c>
      <c r="C41" s="4" t="n">
        <v>1</v>
      </c>
      <c r="D41" s="4" t="s">
        <v>51</v>
      </c>
      <c r="E41" s="4"/>
      <c r="F41" s="4" t="s">
        <v>52</v>
      </c>
      <c r="G41" s="6" t="n">
        <v>18666668</v>
      </c>
      <c r="H41" s="6" t="n">
        <f aca="false">C41*IF(E41="",1,E41)*G41</f>
        <v>18666668</v>
      </c>
    </row>
    <row r="42" customFormat="false" ht="15" hidden="false" customHeight="false" outlineLevel="0" collapsed="false">
      <c r="A42" s="21" t="s">
        <v>82</v>
      </c>
      <c r="B42" s="21"/>
      <c r="C42" s="21"/>
      <c r="D42" s="21"/>
      <c r="E42" s="21"/>
      <c r="F42" s="21"/>
      <c r="G42" s="21"/>
      <c r="H42" s="22" t="n">
        <f aca="false">SUM(H39:H41)</f>
        <v>56000000</v>
      </c>
    </row>
    <row r="43" customFormat="false" ht="15" hidden="false" customHeight="false" outlineLevel="0" collapsed="false">
      <c r="A43" s="25" t="s">
        <v>83</v>
      </c>
      <c r="B43" s="25"/>
      <c r="C43" s="25"/>
      <c r="D43" s="25"/>
      <c r="E43" s="25"/>
      <c r="F43" s="25"/>
      <c r="G43" s="25"/>
      <c r="H43" s="26" t="n">
        <f aca="false">H16+H21+H26+H30+H34+H37+H42</f>
        <v>700000000</v>
      </c>
    </row>
    <row r="45" customFormat="false" ht="15" hidden="false" customHeight="false" outlineLevel="0" collapsed="false">
      <c r="B45" s="27" t="s">
        <v>84</v>
      </c>
    </row>
    <row r="46" customFormat="false" ht="15" hidden="false" customHeight="false" outlineLevel="0" collapsed="false">
      <c r="B46" s="28" t="s">
        <v>85</v>
      </c>
      <c r="G46" s="29" t="n">
        <f aca="false">H16+H21+H26+H30+H34+H42</f>
        <v>602000000</v>
      </c>
      <c r="H46" s="30" t="n">
        <f aca="false">IFERROR(G46/H43,"")</f>
        <v>0.86</v>
      </c>
    </row>
    <row r="47" customFormat="false" ht="15" hidden="false" customHeight="false" outlineLevel="0" collapsed="false">
      <c r="B47" s="28" t="s">
        <v>86</v>
      </c>
      <c r="G47" s="29" t="n">
        <f aca="false">H37</f>
        <v>98000000</v>
      </c>
      <c r="H47" s="30" t="n">
        <f aca="false">IFERROR(G47/H43,"")</f>
        <v>0.14</v>
      </c>
    </row>
    <row r="49" customFormat="false" ht="15" hidden="false" customHeight="false" outlineLevel="0" collapsed="false">
      <c r="A49" s="31" t="s">
        <v>87</v>
      </c>
    </row>
    <row r="50" customFormat="false" ht="15" hidden="false" customHeight="true" outlineLevel="0" collapsed="false">
      <c r="A50" s="12" t="s">
        <v>105</v>
      </c>
      <c r="B50" s="12"/>
      <c r="C50" s="12"/>
      <c r="D50" s="12"/>
      <c r="E50" s="12"/>
      <c r="F50" s="12"/>
      <c r="G50" s="12"/>
      <c r="H50" s="12"/>
    </row>
    <row r="51" customFormat="false" ht="15" hidden="false" customHeight="true" outlineLevel="0" collapsed="false">
      <c r="A51" s="12" t="s">
        <v>89</v>
      </c>
      <c r="B51" s="12"/>
      <c r="C51" s="12"/>
      <c r="D51" s="12"/>
      <c r="E51" s="12"/>
      <c r="F51" s="12"/>
      <c r="G51" s="12"/>
      <c r="H51" s="12"/>
    </row>
    <row r="52" customFormat="false" ht="15" hidden="false" customHeight="true" outlineLevel="0" collapsed="false">
      <c r="A52" s="12" t="s">
        <v>106</v>
      </c>
      <c r="B52" s="12"/>
      <c r="C52" s="12"/>
      <c r="D52" s="12"/>
      <c r="E52" s="12"/>
      <c r="F52" s="12"/>
      <c r="G52" s="12"/>
      <c r="H52" s="12"/>
    </row>
    <row r="53" customFormat="false" ht="15" hidden="false" customHeight="true" outlineLevel="0" collapsed="false">
      <c r="A53" s="12" t="s">
        <v>91</v>
      </c>
      <c r="B53" s="12"/>
      <c r="C53" s="12"/>
      <c r="D53" s="12"/>
      <c r="E53" s="12"/>
      <c r="F53" s="12"/>
      <c r="G53" s="12"/>
      <c r="H53" s="12"/>
    </row>
  </sheetData>
  <mergeCells count="30">
    <mergeCell ref="A1:H1"/>
    <mergeCell ref="A2:H2"/>
    <mergeCell ref="A3:H3"/>
    <mergeCell ref="A5:B5"/>
    <mergeCell ref="C5:H5"/>
    <mergeCell ref="A6:B6"/>
    <mergeCell ref="C6:H6"/>
    <mergeCell ref="A7:B7"/>
    <mergeCell ref="C7:E7"/>
    <mergeCell ref="A8:B8"/>
    <mergeCell ref="C8:H8"/>
    <mergeCell ref="A11:F11"/>
    <mergeCell ref="A16:G16"/>
    <mergeCell ref="A17:F17"/>
    <mergeCell ref="A21:G21"/>
    <mergeCell ref="A22:F22"/>
    <mergeCell ref="A26:G26"/>
    <mergeCell ref="A27:F27"/>
    <mergeCell ref="A30:G30"/>
    <mergeCell ref="A31:F31"/>
    <mergeCell ref="A34:G34"/>
    <mergeCell ref="A35:F35"/>
    <mergeCell ref="A37:G37"/>
    <mergeCell ref="A38:F38"/>
    <mergeCell ref="A42:G42"/>
    <mergeCell ref="A43:G43"/>
    <mergeCell ref="A50:H50"/>
    <mergeCell ref="A51:H51"/>
    <mergeCell ref="A52:H52"/>
    <mergeCell ref="A53:H53"/>
  </mergeCells>
  <printOptions headings="false" gridLines="false" gridLinesSet="true" horizontalCentered="tru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5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4"/>
    <col collapsed="false" customWidth="true" hidden="false" outlineLevel="0" max="3" min="3" style="0" width="7"/>
    <col collapsed="false" customWidth="true" hidden="false" outlineLevel="0" max="4" min="4" style="0" width="8"/>
    <col collapsed="false" customWidth="true" hidden="false" outlineLevel="0" max="5" min="5" style="0" width="7"/>
    <col collapsed="false" customWidth="true" hidden="false" outlineLevel="0" max="6" min="6" style="0" width="8"/>
    <col collapsed="false" customWidth="true" hidden="false" outlineLevel="0" max="7" min="7" style="0" width="15"/>
    <col collapsed="false" customWidth="true" hidden="false" outlineLevel="0" max="8" min="8" style="0" width="17"/>
  </cols>
  <sheetData>
    <row r="1" customFormat="false" ht="17.35" hidden="false" customHeight="true" outlineLevel="0" collapsed="false">
      <c r="A1" s="13" t="s">
        <v>23</v>
      </c>
      <c r="B1" s="13"/>
      <c r="C1" s="13"/>
      <c r="D1" s="13"/>
      <c r="E1" s="13"/>
      <c r="F1" s="13"/>
      <c r="G1" s="13"/>
      <c r="H1" s="13"/>
    </row>
    <row r="2" customFormat="false" ht="15" hidden="false" customHeight="true" outlineLevel="0" collapsed="false">
      <c r="A2" s="14" t="s">
        <v>15</v>
      </c>
      <c r="B2" s="14"/>
      <c r="C2" s="14"/>
      <c r="D2" s="14"/>
      <c r="E2" s="14"/>
      <c r="F2" s="14"/>
      <c r="G2" s="14"/>
      <c r="H2" s="14"/>
    </row>
    <row r="3" customFormat="false" ht="15" hidden="false" customHeight="true" outlineLevel="0" collapsed="false">
      <c r="A3" s="15" t="s">
        <v>107</v>
      </c>
      <c r="B3" s="15"/>
      <c r="C3" s="15"/>
      <c r="D3" s="15"/>
      <c r="E3" s="15"/>
      <c r="F3" s="15"/>
      <c r="G3" s="15"/>
      <c r="H3" s="15"/>
    </row>
    <row r="5" customFormat="false" ht="15" hidden="false" customHeight="false" outlineLevel="0" collapsed="false">
      <c r="A5" s="16" t="s">
        <v>25</v>
      </c>
      <c r="B5" s="16"/>
      <c r="C5" s="17" t="s">
        <v>26</v>
      </c>
      <c r="D5" s="17"/>
      <c r="E5" s="17"/>
      <c r="F5" s="17"/>
      <c r="G5" s="17"/>
      <c r="H5" s="17"/>
    </row>
    <row r="6" customFormat="false" ht="15" hidden="false" customHeight="false" outlineLevel="0" collapsed="false">
      <c r="A6" s="16" t="s">
        <v>27</v>
      </c>
      <c r="B6" s="16"/>
      <c r="C6" s="17" t="s">
        <v>28</v>
      </c>
      <c r="D6" s="17"/>
      <c r="E6" s="17"/>
      <c r="F6" s="17"/>
      <c r="G6" s="17"/>
      <c r="H6" s="17"/>
    </row>
    <row r="7" customFormat="false" ht="15" hidden="false" customHeight="false" outlineLevel="0" collapsed="false">
      <c r="A7" s="16" t="s">
        <v>29</v>
      </c>
      <c r="B7" s="16"/>
      <c r="C7" s="18" t="n">
        <v>750000000</v>
      </c>
      <c r="D7" s="18"/>
      <c r="E7" s="18"/>
    </row>
    <row r="8" customFormat="false" ht="15" hidden="false" customHeight="false" outlineLevel="0" collapsed="false">
      <c r="A8" s="16" t="s">
        <v>30</v>
      </c>
      <c r="B8" s="16"/>
      <c r="C8" s="17" t="s">
        <v>108</v>
      </c>
      <c r="D8" s="17"/>
      <c r="E8" s="17"/>
      <c r="F8" s="17"/>
      <c r="G8" s="17"/>
      <c r="H8" s="17"/>
    </row>
    <row r="10" customFormat="false" ht="23.85" hidden="false" customHeight="false" outlineLevel="0" collapsed="false">
      <c r="A10" s="3" t="s">
        <v>2</v>
      </c>
      <c r="B10" s="3" t="s">
        <v>32</v>
      </c>
      <c r="C10" s="3" t="s">
        <v>33</v>
      </c>
      <c r="D10" s="3" t="s">
        <v>34</v>
      </c>
      <c r="E10" s="3" t="s">
        <v>35</v>
      </c>
      <c r="F10" s="3" t="s">
        <v>36</v>
      </c>
      <c r="G10" s="3" t="s">
        <v>37</v>
      </c>
      <c r="H10" s="3" t="s">
        <v>38</v>
      </c>
    </row>
    <row r="11" customFormat="false" ht="15" hidden="false" customHeight="true" outlineLevel="0" collapsed="false">
      <c r="A11" s="19" t="s">
        <v>39</v>
      </c>
      <c r="B11" s="19"/>
      <c r="C11" s="19"/>
      <c r="D11" s="19"/>
      <c r="E11" s="19"/>
      <c r="F11" s="19"/>
      <c r="G11" s="20"/>
      <c r="H11" s="20"/>
    </row>
    <row r="12" customFormat="false" ht="15" hidden="false" customHeight="false" outlineLevel="0" collapsed="false">
      <c r="A12" s="4" t="n">
        <v>1</v>
      </c>
      <c r="B12" s="5" t="s">
        <v>40</v>
      </c>
      <c r="C12" s="4" t="n">
        <v>1</v>
      </c>
      <c r="D12" s="4" t="s">
        <v>41</v>
      </c>
      <c r="E12" s="4" t="n">
        <v>8</v>
      </c>
      <c r="F12" s="4" t="s">
        <v>42</v>
      </c>
      <c r="G12" s="6" t="n">
        <v>5951000</v>
      </c>
      <c r="H12" s="6" t="n">
        <f aca="false">C12*IF(E12="",1,E12)*G12</f>
        <v>47608000</v>
      </c>
    </row>
    <row r="13" customFormat="false" ht="15" hidden="false" customHeight="false" outlineLevel="0" collapsed="false">
      <c r="A13" s="4" t="n">
        <v>2</v>
      </c>
      <c r="B13" s="5" t="s">
        <v>43</v>
      </c>
      <c r="C13" s="4" t="n">
        <v>2</v>
      </c>
      <c r="D13" s="4" t="s">
        <v>41</v>
      </c>
      <c r="E13" s="4" t="n">
        <v>8</v>
      </c>
      <c r="F13" s="4" t="s">
        <v>42</v>
      </c>
      <c r="G13" s="6" t="n">
        <v>5951000</v>
      </c>
      <c r="H13" s="6" t="n">
        <f aca="false">C13*IF(E13="",1,E13)*G13</f>
        <v>95216000</v>
      </c>
    </row>
    <row r="14" customFormat="false" ht="15" hidden="false" customHeight="false" outlineLevel="0" collapsed="false">
      <c r="A14" s="4" t="n">
        <v>3</v>
      </c>
      <c r="B14" s="5" t="s">
        <v>44</v>
      </c>
      <c r="C14" s="4" t="n">
        <v>1</v>
      </c>
      <c r="D14" s="4" t="s">
        <v>41</v>
      </c>
      <c r="E14" s="4" t="n">
        <v>1</v>
      </c>
      <c r="F14" s="4" t="s">
        <v>45</v>
      </c>
      <c r="G14" s="6" t="n">
        <v>21822000</v>
      </c>
      <c r="H14" s="6" t="n">
        <f aca="false">C14*IF(E14="",1,E14)*G14</f>
        <v>21822000</v>
      </c>
    </row>
    <row r="15" customFormat="false" ht="15" hidden="false" customHeight="false" outlineLevel="0" collapsed="false">
      <c r="A15" s="4" t="n">
        <v>4</v>
      </c>
      <c r="B15" s="5" t="s">
        <v>46</v>
      </c>
      <c r="C15" s="4" t="n">
        <v>2</v>
      </c>
      <c r="D15" s="4" t="s">
        <v>41</v>
      </c>
      <c r="E15" s="4" t="n">
        <v>20</v>
      </c>
      <c r="F15" s="4" t="s">
        <v>47</v>
      </c>
      <c r="G15" s="6" t="n">
        <v>1133850</v>
      </c>
      <c r="H15" s="6" t="n">
        <f aca="false">C15*IF(E15="",1,E15)*G15</f>
        <v>45354000</v>
      </c>
    </row>
    <row r="16" customFormat="false" ht="15" hidden="false" customHeight="false" outlineLevel="0" collapsed="false">
      <c r="A16" s="21" t="s">
        <v>48</v>
      </c>
      <c r="B16" s="21"/>
      <c r="C16" s="21"/>
      <c r="D16" s="21"/>
      <c r="E16" s="21"/>
      <c r="F16" s="21"/>
      <c r="G16" s="21"/>
      <c r="H16" s="22" t="n">
        <f aca="false">SUM(H12:H15)</f>
        <v>210000000</v>
      </c>
    </row>
    <row r="17" customFormat="false" ht="15" hidden="false" customHeight="true" outlineLevel="0" collapsed="false">
      <c r="A17" s="19" t="s">
        <v>49</v>
      </c>
      <c r="B17" s="19"/>
      <c r="C17" s="19"/>
      <c r="D17" s="19"/>
      <c r="E17" s="19"/>
      <c r="F17" s="19"/>
      <c r="G17" s="20"/>
      <c r="H17" s="20"/>
    </row>
    <row r="18" customFormat="false" ht="15" hidden="false" customHeight="false" outlineLevel="0" collapsed="false">
      <c r="A18" s="4" t="n">
        <v>1</v>
      </c>
      <c r="B18" s="5" t="s">
        <v>50</v>
      </c>
      <c r="C18" s="4" t="n">
        <v>1</v>
      </c>
      <c r="D18" s="4" t="s">
        <v>51</v>
      </c>
      <c r="E18" s="4"/>
      <c r="F18" s="4" t="s">
        <v>52</v>
      </c>
      <c r="G18" s="6" t="n">
        <v>55000000</v>
      </c>
      <c r="H18" s="6" t="n">
        <f aca="false">C18*IF(E18="",1,E18)*G18</f>
        <v>55000000</v>
      </c>
    </row>
    <row r="19" customFormat="false" ht="15" hidden="false" customHeight="false" outlineLevel="0" collapsed="false">
      <c r="A19" s="4" t="n">
        <v>2</v>
      </c>
      <c r="B19" s="5" t="s">
        <v>53</v>
      </c>
      <c r="C19" s="4" t="n">
        <v>1</v>
      </c>
      <c r="D19" s="4" t="s">
        <v>51</v>
      </c>
      <c r="E19" s="4"/>
      <c r="F19" s="4" t="s">
        <v>52</v>
      </c>
      <c r="G19" s="6" t="n">
        <v>55000000</v>
      </c>
      <c r="H19" s="6" t="n">
        <f aca="false">C19*IF(E19="",1,E19)*G19</f>
        <v>55000000</v>
      </c>
    </row>
    <row r="20" customFormat="false" ht="15" hidden="false" customHeight="false" outlineLevel="0" collapsed="false">
      <c r="A20" s="4" t="n">
        <v>3</v>
      </c>
      <c r="B20" s="5" t="s">
        <v>54</v>
      </c>
      <c r="C20" s="4" t="n">
        <v>1</v>
      </c>
      <c r="D20" s="4" t="s">
        <v>51</v>
      </c>
      <c r="E20" s="4"/>
      <c r="F20" s="4" t="s">
        <v>52</v>
      </c>
      <c r="G20" s="6" t="n">
        <v>55000000</v>
      </c>
      <c r="H20" s="6" t="n">
        <f aca="false">C20*IF(E20="",1,E20)*G20</f>
        <v>55000000</v>
      </c>
    </row>
    <row r="21" customFormat="false" ht="15" hidden="false" customHeight="false" outlineLevel="0" collapsed="false">
      <c r="A21" s="21" t="s">
        <v>55</v>
      </c>
      <c r="B21" s="21"/>
      <c r="C21" s="21"/>
      <c r="D21" s="21"/>
      <c r="E21" s="21"/>
      <c r="F21" s="21"/>
      <c r="G21" s="21"/>
      <c r="H21" s="22" t="n">
        <f aca="false">SUM(H18:H20)</f>
        <v>165000000</v>
      </c>
    </row>
    <row r="22" customFormat="false" ht="15" hidden="false" customHeight="true" outlineLevel="0" collapsed="false">
      <c r="A22" s="19" t="s">
        <v>56</v>
      </c>
      <c r="B22" s="19"/>
      <c r="C22" s="19"/>
      <c r="D22" s="19"/>
      <c r="E22" s="19"/>
      <c r="F22" s="19"/>
      <c r="G22" s="20"/>
      <c r="H22" s="20"/>
    </row>
    <row r="23" customFormat="false" ht="15" hidden="false" customHeight="false" outlineLevel="0" collapsed="false">
      <c r="A23" s="4" t="n">
        <v>1</v>
      </c>
      <c r="B23" s="5" t="s">
        <v>57</v>
      </c>
      <c r="C23" s="4" t="n">
        <v>1</v>
      </c>
      <c r="D23" s="4" t="s">
        <v>47</v>
      </c>
      <c r="E23" s="4"/>
      <c r="F23" s="4" t="s">
        <v>52</v>
      </c>
      <c r="G23" s="6" t="n">
        <v>30000000</v>
      </c>
      <c r="H23" s="6" t="n">
        <f aca="false">C23*IF(E23="",1,E23)*G23</f>
        <v>30000000</v>
      </c>
    </row>
    <row r="24" customFormat="false" ht="15" hidden="false" customHeight="false" outlineLevel="0" collapsed="false">
      <c r="A24" s="4" t="n">
        <v>2</v>
      </c>
      <c r="B24" s="5" t="s">
        <v>58</v>
      </c>
      <c r="C24" s="4" t="n">
        <v>1</v>
      </c>
      <c r="D24" s="4" t="s">
        <v>51</v>
      </c>
      <c r="E24" s="4"/>
      <c r="F24" s="4" t="s">
        <v>52</v>
      </c>
      <c r="G24" s="6" t="n">
        <v>30000000</v>
      </c>
      <c r="H24" s="6" t="n">
        <f aca="false">C24*IF(E24="",1,E24)*G24</f>
        <v>30000000</v>
      </c>
    </row>
    <row r="25" customFormat="false" ht="15" hidden="false" customHeight="false" outlineLevel="0" collapsed="false">
      <c r="A25" s="4" t="n">
        <v>3</v>
      </c>
      <c r="B25" s="5" t="s">
        <v>59</v>
      </c>
      <c r="C25" s="4" t="n">
        <v>1</v>
      </c>
      <c r="D25" s="4" t="s">
        <v>60</v>
      </c>
      <c r="E25" s="4"/>
      <c r="F25" s="4" t="s">
        <v>52</v>
      </c>
      <c r="G25" s="6" t="n">
        <v>30000000</v>
      </c>
      <c r="H25" s="6" t="n">
        <f aca="false">C25*IF(E25="",1,E25)*G25</f>
        <v>30000000</v>
      </c>
    </row>
    <row r="26" customFormat="false" ht="15" hidden="false" customHeight="false" outlineLevel="0" collapsed="false">
      <c r="A26" s="21" t="s">
        <v>61</v>
      </c>
      <c r="B26" s="21"/>
      <c r="C26" s="21"/>
      <c r="D26" s="21"/>
      <c r="E26" s="21"/>
      <c r="F26" s="21"/>
      <c r="G26" s="21"/>
      <c r="H26" s="22" t="n">
        <f aca="false">SUM(H23:H25)</f>
        <v>90000000</v>
      </c>
    </row>
    <row r="27" customFormat="false" ht="15" hidden="false" customHeight="true" outlineLevel="0" collapsed="false">
      <c r="A27" s="19" t="s">
        <v>62</v>
      </c>
      <c r="B27" s="19"/>
      <c r="C27" s="19"/>
      <c r="D27" s="19"/>
      <c r="E27" s="19"/>
      <c r="F27" s="19"/>
      <c r="G27" s="20"/>
      <c r="H27" s="20"/>
    </row>
    <row r="28" customFormat="false" ht="15" hidden="false" customHeight="false" outlineLevel="0" collapsed="false">
      <c r="A28" s="4" t="n">
        <v>1</v>
      </c>
      <c r="B28" s="5" t="s">
        <v>63</v>
      </c>
      <c r="C28" s="4" t="n">
        <v>1</v>
      </c>
      <c r="D28" s="4" t="s">
        <v>47</v>
      </c>
      <c r="E28" s="4"/>
      <c r="F28" s="4" t="s">
        <v>52</v>
      </c>
      <c r="G28" s="6" t="n">
        <v>45000000</v>
      </c>
      <c r="H28" s="6" t="n">
        <f aca="false">C28*IF(E28="",1,E28)*G28</f>
        <v>45000000</v>
      </c>
    </row>
    <row r="29" customFormat="false" ht="15" hidden="false" customHeight="false" outlineLevel="0" collapsed="false">
      <c r="A29" s="4" t="n">
        <v>2</v>
      </c>
      <c r="B29" s="5" t="s">
        <v>64</v>
      </c>
      <c r="C29" s="4" t="n">
        <v>1</v>
      </c>
      <c r="D29" s="4" t="s">
        <v>65</v>
      </c>
      <c r="E29" s="4"/>
      <c r="F29" s="4" t="s">
        <v>52</v>
      </c>
      <c r="G29" s="6" t="n">
        <v>45000000</v>
      </c>
      <c r="H29" s="6" t="n">
        <f aca="false">C29*IF(E29="",1,E29)*G29</f>
        <v>45000000</v>
      </c>
    </row>
    <row r="30" customFormat="false" ht="15" hidden="false" customHeight="false" outlineLevel="0" collapsed="false">
      <c r="A30" s="21" t="s">
        <v>66</v>
      </c>
      <c r="B30" s="21"/>
      <c r="C30" s="21"/>
      <c r="D30" s="21"/>
      <c r="E30" s="21"/>
      <c r="F30" s="21"/>
      <c r="G30" s="21"/>
      <c r="H30" s="22" t="n">
        <f aca="false">SUM(H28:H29)</f>
        <v>90000000</v>
      </c>
    </row>
    <row r="31" customFormat="false" ht="15" hidden="false" customHeight="true" outlineLevel="0" collapsed="false">
      <c r="A31" s="19" t="s">
        <v>67</v>
      </c>
      <c r="B31" s="19"/>
      <c r="C31" s="19"/>
      <c r="D31" s="19"/>
      <c r="E31" s="19"/>
      <c r="F31" s="19"/>
      <c r="G31" s="20"/>
      <c r="H31" s="20"/>
    </row>
    <row r="32" customFormat="false" ht="15" hidden="false" customHeight="false" outlineLevel="0" collapsed="false">
      <c r="A32" s="4" t="n">
        <v>1</v>
      </c>
      <c r="B32" s="5" t="s">
        <v>68</v>
      </c>
      <c r="C32" s="4" t="n">
        <v>1</v>
      </c>
      <c r="D32" s="4" t="s">
        <v>69</v>
      </c>
      <c r="E32" s="4"/>
      <c r="F32" s="4" t="s">
        <v>52</v>
      </c>
      <c r="G32" s="6" t="n">
        <v>22500000</v>
      </c>
      <c r="H32" s="6" t="n">
        <f aca="false">C32*IF(E32="",1,E32)*G32</f>
        <v>22500000</v>
      </c>
    </row>
    <row r="33" customFormat="false" ht="15" hidden="false" customHeight="false" outlineLevel="0" collapsed="false">
      <c r="A33" s="4" t="n">
        <v>2</v>
      </c>
      <c r="B33" s="5" t="s">
        <v>70</v>
      </c>
      <c r="C33" s="4" t="n">
        <v>1</v>
      </c>
      <c r="D33" s="4" t="s">
        <v>45</v>
      </c>
      <c r="E33" s="4"/>
      <c r="F33" s="4" t="s">
        <v>52</v>
      </c>
      <c r="G33" s="6" t="n">
        <v>22500000</v>
      </c>
      <c r="H33" s="6" t="n">
        <f aca="false">C33*IF(E33="",1,E33)*G33</f>
        <v>22500000</v>
      </c>
    </row>
    <row r="34" customFormat="false" ht="15" hidden="false" customHeight="false" outlineLevel="0" collapsed="false">
      <c r="A34" s="21" t="s">
        <v>71</v>
      </c>
      <c r="B34" s="21"/>
      <c r="C34" s="21"/>
      <c r="D34" s="21"/>
      <c r="E34" s="21"/>
      <c r="F34" s="21"/>
      <c r="G34" s="21"/>
      <c r="H34" s="22" t="n">
        <f aca="false">SUM(H32:H33)</f>
        <v>45000000</v>
      </c>
    </row>
    <row r="35" customFormat="false" ht="15" hidden="false" customHeight="true" outlineLevel="0" collapsed="false">
      <c r="A35" s="23" t="s">
        <v>72</v>
      </c>
      <c r="B35" s="23"/>
      <c r="C35" s="23"/>
      <c r="D35" s="23"/>
      <c r="E35" s="23"/>
      <c r="F35" s="23"/>
      <c r="G35" s="24"/>
      <c r="H35" s="24"/>
    </row>
    <row r="36" customFormat="false" ht="15" hidden="false" customHeight="false" outlineLevel="0" collapsed="false">
      <c r="A36" s="4" t="n">
        <v>1</v>
      </c>
      <c r="B36" s="5" t="s">
        <v>73</v>
      </c>
      <c r="C36" s="4" t="n">
        <v>1</v>
      </c>
      <c r="D36" s="4" t="s">
        <v>74</v>
      </c>
      <c r="E36" s="4"/>
      <c r="F36" s="4" t="s">
        <v>52</v>
      </c>
      <c r="G36" s="6" t="n">
        <v>90000000</v>
      </c>
      <c r="H36" s="6" t="n">
        <f aca="false">C36*IF(E36="",1,E36)*G36</f>
        <v>90000000</v>
      </c>
    </row>
    <row r="37" customFormat="false" ht="15" hidden="false" customHeight="false" outlineLevel="0" collapsed="false">
      <c r="A37" s="21" t="s">
        <v>75</v>
      </c>
      <c r="B37" s="21"/>
      <c r="C37" s="21"/>
      <c r="D37" s="21"/>
      <c r="E37" s="21"/>
      <c r="F37" s="21"/>
      <c r="G37" s="21"/>
      <c r="H37" s="22" t="n">
        <f aca="false">SUM(H36:H36)</f>
        <v>90000000</v>
      </c>
    </row>
    <row r="38" customFormat="false" ht="15" hidden="false" customHeight="true" outlineLevel="0" collapsed="false">
      <c r="A38" s="19" t="s">
        <v>76</v>
      </c>
      <c r="B38" s="19"/>
      <c r="C38" s="19"/>
      <c r="D38" s="19"/>
      <c r="E38" s="19"/>
      <c r="F38" s="19"/>
      <c r="G38" s="20"/>
      <c r="H38" s="20"/>
    </row>
    <row r="39" customFormat="false" ht="15" hidden="false" customHeight="false" outlineLevel="0" collapsed="false">
      <c r="A39" s="4" t="n">
        <v>1</v>
      </c>
      <c r="B39" s="5" t="s">
        <v>77</v>
      </c>
      <c r="C39" s="4" t="n">
        <v>1</v>
      </c>
      <c r="D39" s="4" t="s">
        <v>78</v>
      </c>
      <c r="E39" s="4"/>
      <c r="F39" s="4" t="s">
        <v>52</v>
      </c>
      <c r="G39" s="6" t="n">
        <v>20000000</v>
      </c>
      <c r="H39" s="6" t="n">
        <f aca="false">C39*IF(E39="",1,E39)*G39</f>
        <v>20000000</v>
      </c>
    </row>
    <row r="40" customFormat="false" ht="15" hidden="false" customHeight="false" outlineLevel="0" collapsed="false">
      <c r="A40" s="4" t="n">
        <v>2</v>
      </c>
      <c r="B40" s="5" t="s">
        <v>79</v>
      </c>
      <c r="C40" s="4" t="n">
        <v>1</v>
      </c>
      <c r="D40" s="4" t="s">
        <v>80</v>
      </c>
      <c r="E40" s="4"/>
      <c r="F40" s="4" t="s">
        <v>52</v>
      </c>
      <c r="G40" s="6" t="n">
        <v>20000000</v>
      </c>
      <c r="H40" s="6" t="n">
        <f aca="false">C40*IF(E40="",1,E40)*G40</f>
        <v>20000000</v>
      </c>
    </row>
    <row r="41" customFormat="false" ht="15" hidden="false" customHeight="false" outlineLevel="0" collapsed="false">
      <c r="A41" s="4" t="n">
        <v>3</v>
      </c>
      <c r="B41" s="5" t="s">
        <v>81</v>
      </c>
      <c r="C41" s="4" t="n">
        <v>1</v>
      </c>
      <c r="D41" s="4" t="s">
        <v>51</v>
      </c>
      <c r="E41" s="4"/>
      <c r="F41" s="4" t="s">
        <v>52</v>
      </c>
      <c r="G41" s="6" t="n">
        <v>20000000</v>
      </c>
      <c r="H41" s="6" t="n">
        <f aca="false">C41*IF(E41="",1,E41)*G41</f>
        <v>20000000</v>
      </c>
    </row>
    <row r="42" customFormat="false" ht="15" hidden="false" customHeight="false" outlineLevel="0" collapsed="false">
      <c r="A42" s="21" t="s">
        <v>82</v>
      </c>
      <c r="B42" s="21"/>
      <c r="C42" s="21"/>
      <c r="D42" s="21"/>
      <c r="E42" s="21"/>
      <c r="F42" s="21"/>
      <c r="G42" s="21"/>
      <c r="H42" s="22" t="n">
        <f aca="false">SUM(H39:H41)</f>
        <v>60000000</v>
      </c>
    </row>
    <row r="43" customFormat="false" ht="15" hidden="false" customHeight="false" outlineLevel="0" collapsed="false">
      <c r="A43" s="25" t="s">
        <v>83</v>
      </c>
      <c r="B43" s="25"/>
      <c r="C43" s="25"/>
      <c r="D43" s="25"/>
      <c r="E43" s="25"/>
      <c r="F43" s="25"/>
      <c r="G43" s="25"/>
      <c r="H43" s="26" t="n">
        <f aca="false">H16+H21+H26+H30+H34+H37+H42</f>
        <v>750000000</v>
      </c>
    </row>
    <row r="45" customFormat="false" ht="15" hidden="false" customHeight="false" outlineLevel="0" collapsed="false">
      <c r="B45" s="27" t="s">
        <v>84</v>
      </c>
    </row>
    <row r="46" customFormat="false" ht="15" hidden="false" customHeight="false" outlineLevel="0" collapsed="false">
      <c r="B46" s="28" t="s">
        <v>85</v>
      </c>
      <c r="G46" s="29" t="n">
        <f aca="false">H16+H21+H26+H30+H34+H42</f>
        <v>660000000</v>
      </c>
      <c r="H46" s="30" t="n">
        <f aca="false">IFERROR(G46/H43,"")</f>
        <v>0.88</v>
      </c>
    </row>
    <row r="47" customFormat="false" ht="15" hidden="false" customHeight="false" outlineLevel="0" collapsed="false">
      <c r="B47" s="28" t="s">
        <v>86</v>
      </c>
      <c r="G47" s="29" t="n">
        <f aca="false">H37</f>
        <v>90000000</v>
      </c>
      <c r="H47" s="30" t="n">
        <f aca="false">IFERROR(G47/H43,"")</f>
        <v>0.12</v>
      </c>
    </row>
    <row r="49" customFormat="false" ht="15" hidden="false" customHeight="false" outlineLevel="0" collapsed="false">
      <c r="A49" s="31" t="s">
        <v>87</v>
      </c>
    </row>
    <row r="50" customFormat="false" ht="15" hidden="false" customHeight="true" outlineLevel="0" collapsed="false">
      <c r="A50" s="12" t="s">
        <v>109</v>
      </c>
      <c r="B50" s="12"/>
      <c r="C50" s="12"/>
      <c r="D50" s="12"/>
      <c r="E50" s="12"/>
      <c r="F50" s="12"/>
      <c r="G50" s="12"/>
      <c r="H50" s="12"/>
    </row>
    <row r="51" customFormat="false" ht="15" hidden="false" customHeight="true" outlineLevel="0" collapsed="false">
      <c r="A51" s="12" t="s">
        <v>110</v>
      </c>
      <c r="B51" s="12"/>
      <c r="C51" s="12"/>
      <c r="D51" s="12"/>
      <c r="E51" s="12"/>
      <c r="F51" s="12"/>
      <c r="G51" s="12"/>
      <c r="H51" s="12"/>
    </row>
    <row r="52" customFormat="false" ht="15" hidden="false" customHeight="true" outlineLevel="0" collapsed="false">
      <c r="A52" s="12" t="s">
        <v>102</v>
      </c>
      <c r="B52" s="12"/>
      <c r="C52" s="12"/>
      <c r="D52" s="12"/>
      <c r="E52" s="12"/>
      <c r="F52" s="12"/>
      <c r="G52" s="12"/>
      <c r="H52" s="12"/>
    </row>
    <row r="53" customFormat="false" ht="15" hidden="false" customHeight="true" outlineLevel="0" collapsed="false">
      <c r="A53" s="12" t="s">
        <v>91</v>
      </c>
      <c r="B53" s="12"/>
      <c r="C53" s="12"/>
      <c r="D53" s="12"/>
      <c r="E53" s="12"/>
      <c r="F53" s="12"/>
      <c r="G53" s="12"/>
      <c r="H53" s="12"/>
    </row>
  </sheetData>
  <mergeCells count="30">
    <mergeCell ref="A1:H1"/>
    <mergeCell ref="A2:H2"/>
    <mergeCell ref="A3:H3"/>
    <mergeCell ref="A5:B5"/>
    <mergeCell ref="C5:H5"/>
    <mergeCell ref="A6:B6"/>
    <mergeCell ref="C6:H6"/>
    <mergeCell ref="A7:B7"/>
    <mergeCell ref="C7:E7"/>
    <mergeCell ref="A8:B8"/>
    <mergeCell ref="C8:H8"/>
    <mergeCell ref="A11:F11"/>
    <mergeCell ref="A16:G16"/>
    <mergeCell ref="A17:F17"/>
    <mergeCell ref="A21:G21"/>
    <mergeCell ref="A22:F22"/>
    <mergeCell ref="A26:G26"/>
    <mergeCell ref="A27:F27"/>
    <mergeCell ref="A30:G30"/>
    <mergeCell ref="A31:F31"/>
    <mergeCell ref="A34:G34"/>
    <mergeCell ref="A35:F35"/>
    <mergeCell ref="A37:G37"/>
    <mergeCell ref="A38:F38"/>
    <mergeCell ref="A42:G42"/>
    <mergeCell ref="A43:G43"/>
    <mergeCell ref="A50:H50"/>
    <mergeCell ref="A51:H51"/>
    <mergeCell ref="A52:H52"/>
    <mergeCell ref="A53:H53"/>
  </mergeCells>
  <printOptions headings="false" gridLines="false" gridLinesSet="true" horizontalCentered="tru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5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4"/>
    <col collapsed="false" customWidth="true" hidden="false" outlineLevel="0" max="3" min="3" style="0" width="7"/>
    <col collapsed="false" customWidth="true" hidden="false" outlineLevel="0" max="4" min="4" style="0" width="8"/>
    <col collapsed="false" customWidth="true" hidden="false" outlineLevel="0" max="5" min="5" style="0" width="7"/>
    <col collapsed="false" customWidth="true" hidden="false" outlineLevel="0" max="6" min="6" style="0" width="8"/>
    <col collapsed="false" customWidth="true" hidden="false" outlineLevel="0" max="7" min="7" style="0" width="15"/>
    <col collapsed="false" customWidth="true" hidden="false" outlineLevel="0" max="8" min="8" style="0" width="17"/>
  </cols>
  <sheetData>
    <row r="1" customFormat="false" ht="17.35" hidden="false" customHeight="true" outlineLevel="0" collapsed="false">
      <c r="A1" s="13" t="s">
        <v>23</v>
      </c>
      <c r="B1" s="13"/>
      <c r="C1" s="13"/>
      <c r="D1" s="13"/>
      <c r="E1" s="13"/>
      <c r="F1" s="13"/>
      <c r="G1" s="13"/>
      <c r="H1" s="13"/>
    </row>
    <row r="2" customFormat="false" ht="15" hidden="false" customHeight="true" outlineLevel="0" collapsed="false">
      <c r="A2" s="14" t="s">
        <v>17</v>
      </c>
      <c r="B2" s="14"/>
      <c r="C2" s="14"/>
      <c r="D2" s="14"/>
      <c r="E2" s="14"/>
      <c r="F2" s="14"/>
      <c r="G2" s="14"/>
      <c r="H2" s="14"/>
    </row>
    <row r="3" customFormat="false" ht="15" hidden="false" customHeight="true" outlineLevel="0" collapsed="false">
      <c r="A3" s="15" t="s">
        <v>111</v>
      </c>
      <c r="B3" s="15"/>
      <c r="C3" s="15"/>
      <c r="D3" s="15"/>
      <c r="E3" s="15"/>
      <c r="F3" s="15"/>
      <c r="G3" s="15"/>
      <c r="H3" s="15"/>
    </row>
    <row r="5" customFormat="false" ht="15" hidden="false" customHeight="false" outlineLevel="0" collapsed="false">
      <c r="A5" s="16" t="s">
        <v>25</v>
      </c>
      <c r="B5" s="16"/>
      <c r="C5" s="17" t="s">
        <v>26</v>
      </c>
      <c r="D5" s="17"/>
      <c r="E5" s="17"/>
      <c r="F5" s="17"/>
      <c r="G5" s="17"/>
      <c r="H5" s="17"/>
    </row>
    <row r="6" customFormat="false" ht="15" hidden="false" customHeight="false" outlineLevel="0" collapsed="false">
      <c r="A6" s="16" t="s">
        <v>27</v>
      </c>
      <c r="B6" s="16"/>
      <c r="C6" s="17" t="s">
        <v>28</v>
      </c>
      <c r="D6" s="17"/>
      <c r="E6" s="17"/>
      <c r="F6" s="17"/>
      <c r="G6" s="17"/>
      <c r="H6" s="17"/>
    </row>
    <row r="7" customFormat="false" ht="15" hidden="false" customHeight="false" outlineLevel="0" collapsed="false">
      <c r="A7" s="16" t="s">
        <v>29</v>
      </c>
      <c r="B7" s="16"/>
      <c r="C7" s="18" t="n">
        <v>500000000</v>
      </c>
      <c r="D7" s="18"/>
      <c r="E7" s="18"/>
    </row>
    <row r="8" customFormat="false" ht="15" hidden="false" customHeight="false" outlineLevel="0" collapsed="false">
      <c r="A8" s="16" t="s">
        <v>30</v>
      </c>
      <c r="B8" s="16"/>
      <c r="C8" s="17" t="s">
        <v>112</v>
      </c>
      <c r="D8" s="17"/>
      <c r="E8" s="17"/>
      <c r="F8" s="17"/>
      <c r="G8" s="17"/>
      <c r="H8" s="17"/>
    </row>
    <row r="10" customFormat="false" ht="23.85" hidden="false" customHeight="false" outlineLevel="0" collapsed="false">
      <c r="A10" s="3" t="s">
        <v>2</v>
      </c>
      <c r="B10" s="3" t="s">
        <v>32</v>
      </c>
      <c r="C10" s="3" t="s">
        <v>33</v>
      </c>
      <c r="D10" s="3" t="s">
        <v>34</v>
      </c>
      <c r="E10" s="3" t="s">
        <v>35</v>
      </c>
      <c r="F10" s="3" t="s">
        <v>36</v>
      </c>
      <c r="G10" s="3" t="s">
        <v>37</v>
      </c>
      <c r="H10" s="3" t="s">
        <v>38</v>
      </c>
    </row>
    <row r="11" customFormat="false" ht="15" hidden="false" customHeight="true" outlineLevel="0" collapsed="false">
      <c r="A11" s="19" t="s">
        <v>39</v>
      </c>
      <c r="B11" s="19"/>
      <c r="C11" s="19"/>
      <c r="D11" s="19"/>
      <c r="E11" s="19"/>
      <c r="F11" s="19"/>
      <c r="G11" s="20"/>
      <c r="H11" s="20"/>
    </row>
    <row r="12" customFormat="false" ht="15" hidden="false" customHeight="false" outlineLevel="0" collapsed="false">
      <c r="A12" s="4" t="n">
        <v>1</v>
      </c>
      <c r="B12" s="5" t="s">
        <v>40</v>
      </c>
      <c r="C12" s="4" t="n">
        <v>1</v>
      </c>
      <c r="D12" s="4" t="s">
        <v>41</v>
      </c>
      <c r="E12" s="4" t="n">
        <v>8</v>
      </c>
      <c r="F12" s="4" t="s">
        <v>42</v>
      </c>
      <c r="G12" s="6" t="n">
        <v>3117000</v>
      </c>
      <c r="H12" s="6" t="n">
        <f aca="false">C12*IF(E12="",1,E12)*G12</f>
        <v>24936000</v>
      </c>
    </row>
    <row r="13" customFormat="false" ht="15" hidden="false" customHeight="false" outlineLevel="0" collapsed="false">
      <c r="A13" s="4" t="n">
        <v>2</v>
      </c>
      <c r="B13" s="5" t="s">
        <v>43</v>
      </c>
      <c r="C13" s="4" t="n">
        <v>2</v>
      </c>
      <c r="D13" s="4" t="s">
        <v>41</v>
      </c>
      <c r="E13" s="4" t="n">
        <v>8</v>
      </c>
      <c r="F13" s="4" t="s">
        <v>42</v>
      </c>
      <c r="G13" s="6" t="n">
        <v>3117000</v>
      </c>
      <c r="H13" s="6" t="n">
        <f aca="false">C13*IF(E13="",1,E13)*G13</f>
        <v>49872000</v>
      </c>
    </row>
    <row r="14" customFormat="false" ht="15" hidden="false" customHeight="false" outlineLevel="0" collapsed="false">
      <c r="A14" s="4" t="n">
        <v>3</v>
      </c>
      <c r="B14" s="5" t="s">
        <v>44</v>
      </c>
      <c r="C14" s="4" t="n">
        <v>1</v>
      </c>
      <c r="D14" s="4" t="s">
        <v>41</v>
      </c>
      <c r="E14" s="4" t="n">
        <v>1</v>
      </c>
      <c r="F14" s="4" t="s">
        <v>45</v>
      </c>
      <c r="G14" s="6" t="n">
        <v>11430000</v>
      </c>
      <c r="H14" s="6" t="n">
        <f aca="false">C14*IF(E14="",1,E14)*G14</f>
        <v>11430000</v>
      </c>
    </row>
    <row r="15" customFormat="false" ht="15" hidden="false" customHeight="false" outlineLevel="0" collapsed="false">
      <c r="A15" s="4" t="n">
        <v>4</v>
      </c>
      <c r="B15" s="5" t="s">
        <v>46</v>
      </c>
      <c r="C15" s="4" t="n">
        <v>2</v>
      </c>
      <c r="D15" s="4" t="s">
        <v>41</v>
      </c>
      <c r="E15" s="4" t="n">
        <v>20</v>
      </c>
      <c r="F15" s="4" t="s">
        <v>47</v>
      </c>
      <c r="G15" s="6" t="n">
        <v>594050</v>
      </c>
      <c r="H15" s="6" t="n">
        <f aca="false">C15*IF(E15="",1,E15)*G15</f>
        <v>23762000</v>
      </c>
    </row>
    <row r="16" customFormat="false" ht="15" hidden="false" customHeight="false" outlineLevel="0" collapsed="false">
      <c r="A16" s="21" t="s">
        <v>48</v>
      </c>
      <c r="B16" s="21"/>
      <c r="C16" s="21"/>
      <c r="D16" s="21"/>
      <c r="E16" s="21"/>
      <c r="F16" s="21"/>
      <c r="G16" s="21"/>
      <c r="H16" s="22" t="n">
        <f aca="false">SUM(H12:H15)</f>
        <v>110000000</v>
      </c>
    </row>
    <row r="17" customFormat="false" ht="15" hidden="false" customHeight="true" outlineLevel="0" collapsed="false">
      <c r="A17" s="19" t="s">
        <v>49</v>
      </c>
      <c r="B17" s="19"/>
      <c r="C17" s="19"/>
      <c r="D17" s="19"/>
      <c r="E17" s="19"/>
      <c r="F17" s="19"/>
      <c r="G17" s="20"/>
      <c r="H17" s="20"/>
    </row>
    <row r="18" customFormat="false" ht="15" hidden="false" customHeight="false" outlineLevel="0" collapsed="false">
      <c r="A18" s="4" t="n">
        <v>1</v>
      </c>
      <c r="B18" s="5" t="s">
        <v>50</v>
      </c>
      <c r="C18" s="4" t="n">
        <v>1</v>
      </c>
      <c r="D18" s="4" t="s">
        <v>51</v>
      </c>
      <c r="E18" s="4"/>
      <c r="F18" s="4" t="s">
        <v>52</v>
      </c>
      <c r="G18" s="6" t="n">
        <v>36666666</v>
      </c>
      <c r="H18" s="6" t="n">
        <f aca="false">C18*IF(E18="",1,E18)*G18</f>
        <v>36666666</v>
      </c>
    </row>
    <row r="19" customFormat="false" ht="15" hidden="false" customHeight="false" outlineLevel="0" collapsed="false">
      <c r="A19" s="4" t="n">
        <v>2</v>
      </c>
      <c r="B19" s="5" t="s">
        <v>53</v>
      </c>
      <c r="C19" s="4" t="n">
        <v>1</v>
      </c>
      <c r="D19" s="4" t="s">
        <v>51</v>
      </c>
      <c r="E19" s="4"/>
      <c r="F19" s="4" t="s">
        <v>52</v>
      </c>
      <c r="G19" s="6" t="n">
        <v>36666666</v>
      </c>
      <c r="H19" s="6" t="n">
        <f aca="false">C19*IF(E19="",1,E19)*G19</f>
        <v>36666666</v>
      </c>
    </row>
    <row r="20" customFormat="false" ht="15" hidden="false" customHeight="false" outlineLevel="0" collapsed="false">
      <c r="A20" s="4" t="n">
        <v>3</v>
      </c>
      <c r="B20" s="5" t="s">
        <v>54</v>
      </c>
      <c r="C20" s="4" t="n">
        <v>1</v>
      </c>
      <c r="D20" s="4" t="s">
        <v>51</v>
      </c>
      <c r="E20" s="4"/>
      <c r="F20" s="4" t="s">
        <v>52</v>
      </c>
      <c r="G20" s="6" t="n">
        <v>36666668</v>
      </c>
      <c r="H20" s="6" t="n">
        <f aca="false">C20*IF(E20="",1,E20)*G20</f>
        <v>36666668</v>
      </c>
    </row>
    <row r="21" customFormat="false" ht="15" hidden="false" customHeight="false" outlineLevel="0" collapsed="false">
      <c r="A21" s="21" t="s">
        <v>55</v>
      </c>
      <c r="B21" s="21"/>
      <c r="C21" s="21"/>
      <c r="D21" s="21"/>
      <c r="E21" s="21"/>
      <c r="F21" s="21"/>
      <c r="G21" s="21"/>
      <c r="H21" s="22" t="n">
        <f aca="false">SUM(H18:H20)</f>
        <v>110000000</v>
      </c>
    </row>
    <row r="22" customFormat="false" ht="15" hidden="false" customHeight="true" outlineLevel="0" collapsed="false">
      <c r="A22" s="19" t="s">
        <v>56</v>
      </c>
      <c r="B22" s="19"/>
      <c r="C22" s="19"/>
      <c r="D22" s="19"/>
      <c r="E22" s="19"/>
      <c r="F22" s="19"/>
      <c r="G22" s="20"/>
      <c r="H22" s="20"/>
    </row>
    <row r="23" customFormat="false" ht="15" hidden="false" customHeight="false" outlineLevel="0" collapsed="false">
      <c r="A23" s="4" t="n">
        <v>1</v>
      </c>
      <c r="B23" s="5" t="s">
        <v>57</v>
      </c>
      <c r="C23" s="4" t="n">
        <v>1</v>
      </c>
      <c r="D23" s="4" t="s">
        <v>47</v>
      </c>
      <c r="E23" s="4"/>
      <c r="F23" s="4" t="s">
        <v>52</v>
      </c>
      <c r="G23" s="6" t="n">
        <v>20000000</v>
      </c>
      <c r="H23" s="6" t="n">
        <f aca="false">C23*IF(E23="",1,E23)*G23</f>
        <v>20000000</v>
      </c>
    </row>
    <row r="24" customFormat="false" ht="15" hidden="false" customHeight="false" outlineLevel="0" collapsed="false">
      <c r="A24" s="4" t="n">
        <v>2</v>
      </c>
      <c r="B24" s="5" t="s">
        <v>58</v>
      </c>
      <c r="C24" s="4" t="n">
        <v>1</v>
      </c>
      <c r="D24" s="4" t="s">
        <v>51</v>
      </c>
      <c r="E24" s="4"/>
      <c r="F24" s="4" t="s">
        <v>52</v>
      </c>
      <c r="G24" s="6" t="n">
        <v>20000000</v>
      </c>
      <c r="H24" s="6" t="n">
        <f aca="false">C24*IF(E24="",1,E24)*G24</f>
        <v>20000000</v>
      </c>
    </row>
    <row r="25" customFormat="false" ht="15" hidden="false" customHeight="false" outlineLevel="0" collapsed="false">
      <c r="A25" s="4" t="n">
        <v>3</v>
      </c>
      <c r="B25" s="5" t="s">
        <v>59</v>
      </c>
      <c r="C25" s="4" t="n">
        <v>1</v>
      </c>
      <c r="D25" s="4" t="s">
        <v>60</v>
      </c>
      <c r="E25" s="4"/>
      <c r="F25" s="4" t="s">
        <v>52</v>
      </c>
      <c r="G25" s="6" t="n">
        <v>20000000</v>
      </c>
      <c r="H25" s="6" t="n">
        <f aca="false">C25*IF(E25="",1,E25)*G25</f>
        <v>20000000</v>
      </c>
    </row>
    <row r="26" customFormat="false" ht="15" hidden="false" customHeight="false" outlineLevel="0" collapsed="false">
      <c r="A26" s="21" t="s">
        <v>61</v>
      </c>
      <c r="B26" s="21"/>
      <c r="C26" s="21"/>
      <c r="D26" s="21"/>
      <c r="E26" s="21"/>
      <c r="F26" s="21"/>
      <c r="G26" s="21"/>
      <c r="H26" s="22" t="n">
        <f aca="false">SUM(H23:H25)</f>
        <v>60000000</v>
      </c>
    </row>
    <row r="27" customFormat="false" ht="15" hidden="false" customHeight="true" outlineLevel="0" collapsed="false">
      <c r="A27" s="19" t="s">
        <v>62</v>
      </c>
      <c r="B27" s="19"/>
      <c r="C27" s="19"/>
      <c r="D27" s="19"/>
      <c r="E27" s="19"/>
      <c r="F27" s="19"/>
      <c r="G27" s="20"/>
      <c r="H27" s="20"/>
    </row>
    <row r="28" customFormat="false" ht="15" hidden="false" customHeight="false" outlineLevel="0" collapsed="false">
      <c r="A28" s="4" t="n">
        <v>1</v>
      </c>
      <c r="B28" s="5" t="s">
        <v>63</v>
      </c>
      <c r="C28" s="4" t="n">
        <v>1</v>
      </c>
      <c r="D28" s="4" t="s">
        <v>47</v>
      </c>
      <c r="E28" s="4"/>
      <c r="F28" s="4" t="s">
        <v>52</v>
      </c>
      <c r="G28" s="6" t="n">
        <v>25000000</v>
      </c>
      <c r="H28" s="6" t="n">
        <f aca="false">C28*IF(E28="",1,E28)*G28</f>
        <v>25000000</v>
      </c>
    </row>
    <row r="29" customFormat="false" ht="15" hidden="false" customHeight="false" outlineLevel="0" collapsed="false">
      <c r="A29" s="4" t="n">
        <v>2</v>
      </c>
      <c r="B29" s="5" t="s">
        <v>64</v>
      </c>
      <c r="C29" s="4" t="n">
        <v>1</v>
      </c>
      <c r="D29" s="4" t="s">
        <v>65</v>
      </c>
      <c r="E29" s="4"/>
      <c r="F29" s="4" t="s">
        <v>52</v>
      </c>
      <c r="G29" s="6" t="n">
        <v>25000000</v>
      </c>
      <c r="H29" s="6" t="n">
        <f aca="false">C29*IF(E29="",1,E29)*G29</f>
        <v>25000000</v>
      </c>
    </row>
    <row r="30" customFormat="false" ht="15" hidden="false" customHeight="false" outlineLevel="0" collapsed="false">
      <c r="A30" s="21" t="s">
        <v>66</v>
      </c>
      <c r="B30" s="21"/>
      <c r="C30" s="21"/>
      <c r="D30" s="21"/>
      <c r="E30" s="21"/>
      <c r="F30" s="21"/>
      <c r="G30" s="21"/>
      <c r="H30" s="22" t="n">
        <f aca="false">SUM(H28:H29)</f>
        <v>50000000</v>
      </c>
    </row>
    <row r="31" customFormat="false" ht="15" hidden="false" customHeight="true" outlineLevel="0" collapsed="false">
      <c r="A31" s="19" t="s">
        <v>67</v>
      </c>
      <c r="B31" s="19"/>
      <c r="C31" s="19"/>
      <c r="D31" s="19"/>
      <c r="E31" s="19"/>
      <c r="F31" s="19"/>
      <c r="G31" s="20"/>
      <c r="H31" s="20"/>
    </row>
    <row r="32" customFormat="false" ht="15" hidden="false" customHeight="false" outlineLevel="0" collapsed="false">
      <c r="A32" s="4" t="n">
        <v>1</v>
      </c>
      <c r="B32" s="5" t="s">
        <v>68</v>
      </c>
      <c r="C32" s="4" t="n">
        <v>1</v>
      </c>
      <c r="D32" s="4" t="s">
        <v>69</v>
      </c>
      <c r="E32" s="4"/>
      <c r="F32" s="4" t="s">
        <v>52</v>
      </c>
      <c r="G32" s="6" t="n">
        <v>20000000</v>
      </c>
      <c r="H32" s="6" t="n">
        <f aca="false">C32*IF(E32="",1,E32)*G32</f>
        <v>20000000</v>
      </c>
    </row>
    <row r="33" customFormat="false" ht="15" hidden="false" customHeight="false" outlineLevel="0" collapsed="false">
      <c r="A33" s="4" t="n">
        <v>2</v>
      </c>
      <c r="B33" s="5" t="s">
        <v>70</v>
      </c>
      <c r="C33" s="4" t="n">
        <v>1</v>
      </c>
      <c r="D33" s="4" t="s">
        <v>45</v>
      </c>
      <c r="E33" s="4"/>
      <c r="F33" s="4" t="s">
        <v>52</v>
      </c>
      <c r="G33" s="6" t="n">
        <v>20000000</v>
      </c>
      <c r="H33" s="6" t="n">
        <f aca="false">C33*IF(E33="",1,E33)*G33</f>
        <v>20000000</v>
      </c>
    </row>
    <row r="34" customFormat="false" ht="15" hidden="false" customHeight="false" outlineLevel="0" collapsed="false">
      <c r="A34" s="21" t="s">
        <v>71</v>
      </c>
      <c r="B34" s="21"/>
      <c r="C34" s="21"/>
      <c r="D34" s="21"/>
      <c r="E34" s="21"/>
      <c r="F34" s="21"/>
      <c r="G34" s="21"/>
      <c r="H34" s="22" t="n">
        <f aca="false">SUM(H32:H33)</f>
        <v>40000000</v>
      </c>
    </row>
    <row r="35" customFormat="false" ht="15" hidden="false" customHeight="true" outlineLevel="0" collapsed="false">
      <c r="A35" s="23" t="s">
        <v>72</v>
      </c>
      <c r="B35" s="23"/>
      <c r="C35" s="23"/>
      <c r="D35" s="23"/>
      <c r="E35" s="23"/>
      <c r="F35" s="23"/>
      <c r="G35" s="24"/>
      <c r="H35" s="24"/>
    </row>
    <row r="36" customFormat="false" ht="15" hidden="false" customHeight="false" outlineLevel="0" collapsed="false">
      <c r="A36" s="4" t="n">
        <v>1</v>
      </c>
      <c r="B36" s="5" t="s">
        <v>73</v>
      </c>
      <c r="C36" s="4" t="n">
        <v>1</v>
      </c>
      <c r="D36" s="4" t="s">
        <v>74</v>
      </c>
      <c r="E36" s="4"/>
      <c r="F36" s="4" t="s">
        <v>52</v>
      </c>
      <c r="G36" s="6" t="n">
        <v>90000000</v>
      </c>
      <c r="H36" s="6" t="n">
        <f aca="false">C36*IF(E36="",1,E36)*G36</f>
        <v>90000000</v>
      </c>
    </row>
    <row r="37" customFormat="false" ht="15" hidden="false" customHeight="false" outlineLevel="0" collapsed="false">
      <c r="A37" s="21" t="s">
        <v>75</v>
      </c>
      <c r="B37" s="21"/>
      <c r="C37" s="21"/>
      <c r="D37" s="21"/>
      <c r="E37" s="21"/>
      <c r="F37" s="21"/>
      <c r="G37" s="21"/>
      <c r="H37" s="22" t="n">
        <f aca="false">SUM(H36:H36)</f>
        <v>90000000</v>
      </c>
    </row>
    <row r="38" customFormat="false" ht="15" hidden="false" customHeight="true" outlineLevel="0" collapsed="false">
      <c r="A38" s="19" t="s">
        <v>76</v>
      </c>
      <c r="B38" s="19"/>
      <c r="C38" s="19"/>
      <c r="D38" s="19"/>
      <c r="E38" s="19"/>
      <c r="F38" s="19"/>
      <c r="G38" s="20"/>
      <c r="H38" s="20"/>
    </row>
    <row r="39" customFormat="false" ht="15" hidden="false" customHeight="false" outlineLevel="0" collapsed="false">
      <c r="A39" s="4" t="n">
        <v>1</v>
      </c>
      <c r="B39" s="5" t="s">
        <v>77</v>
      </c>
      <c r="C39" s="4" t="n">
        <v>1</v>
      </c>
      <c r="D39" s="4" t="s">
        <v>78</v>
      </c>
      <c r="E39" s="4"/>
      <c r="F39" s="4" t="s">
        <v>52</v>
      </c>
      <c r="G39" s="6" t="n">
        <v>13333333</v>
      </c>
      <c r="H39" s="6" t="n">
        <f aca="false">C39*IF(E39="",1,E39)*G39</f>
        <v>13333333</v>
      </c>
    </row>
    <row r="40" customFormat="false" ht="15" hidden="false" customHeight="false" outlineLevel="0" collapsed="false">
      <c r="A40" s="4" t="n">
        <v>2</v>
      </c>
      <c r="B40" s="5" t="s">
        <v>79</v>
      </c>
      <c r="C40" s="4" t="n">
        <v>1</v>
      </c>
      <c r="D40" s="4" t="s">
        <v>80</v>
      </c>
      <c r="E40" s="4"/>
      <c r="F40" s="4" t="s">
        <v>52</v>
      </c>
      <c r="G40" s="6" t="n">
        <v>13333333</v>
      </c>
      <c r="H40" s="6" t="n">
        <f aca="false">C40*IF(E40="",1,E40)*G40</f>
        <v>13333333</v>
      </c>
    </row>
    <row r="41" customFormat="false" ht="15" hidden="false" customHeight="false" outlineLevel="0" collapsed="false">
      <c r="A41" s="4" t="n">
        <v>3</v>
      </c>
      <c r="B41" s="5" t="s">
        <v>81</v>
      </c>
      <c r="C41" s="4" t="n">
        <v>1</v>
      </c>
      <c r="D41" s="4" t="s">
        <v>51</v>
      </c>
      <c r="E41" s="4"/>
      <c r="F41" s="4" t="s">
        <v>52</v>
      </c>
      <c r="G41" s="6" t="n">
        <v>13333334</v>
      </c>
      <c r="H41" s="6" t="n">
        <f aca="false">C41*IF(E41="",1,E41)*G41</f>
        <v>13333334</v>
      </c>
    </row>
    <row r="42" customFormat="false" ht="15" hidden="false" customHeight="false" outlineLevel="0" collapsed="false">
      <c r="A42" s="21" t="s">
        <v>82</v>
      </c>
      <c r="B42" s="21"/>
      <c r="C42" s="21"/>
      <c r="D42" s="21"/>
      <c r="E42" s="21"/>
      <c r="F42" s="21"/>
      <c r="G42" s="21"/>
      <c r="H42" s="22" t="n">
        <f aca="false">SUM(H39:H41)</f>
        <v>40000000</v>
      </c>
    </row>
    <row r="43" customFormat="false" ht="15" hidden="false" customHeight="false" outlineLevel="0" collapsed="false">
      <c r="A43" s="25" t="s">
        <v>83</v>
      </c>
      <c r="B43" s="25"/>
      <c r="C43" s="25"/>
      <c r="D43" s="25"/>
      <c r="E43" s="25"/>
      <c r="F43" s="25"/>
      <c r="G43" s="25"/>
      <c r="H43" s="26" t="n">
        <f aca="false">H16+H21+H26+H30+H34+H37+H42</f>
        <v>500000000</v>
      </c>
    </row>
    <row r="45" customFormat="false" ht="15" hidden="false" customHeight="false" outlineLevel="0" collapsed="false">
      <c r="B45" s="27" t="s">
        <v>84</v>
      </c>
    </row>
    <row r="46" customFormat="false" ht="15" hidden="false" customHeight="false" outlineLevel="0" collapsed="false">
      <c r="B46" s="28" t="s">
        <v>85</v>
      </c>
      <c r="G46" s="29" t="n">
        <f aca="false">H16+H21+H26+H30+H34+H42</f>
        <v>410000000</v>
      </c>
      <c r="H46" s="30" t="n">
        <f aca="false">IFERROR(G46/H43,"")</f>
        <v>0.82</v>
      </c>
    </row>
    <row r="47" customFormat="false" ht="15" hidden="false" customHeight="false" outlineLevel="0" collapsed="false">
      <c r="B47" s="28" t="s">
        <v>86</v>
      </c>
      <c r="G47" s="29" t="n">
        <f aca="false">H37</f>
        <v>90000000</v>
      </c>
      <c r="H47" s="30" t="n">
        <f aca="false">IFERROR(G47/H43,"")</f>
        <v>0.18</v>
      </c>
    </row>
    <row r="49" customFormat="false" ht="15" hidden="false" customHeight="false" outlineLevel="0" collapsed="false">
      <c r="A49" s="31" t="s">
        <v>87</v>
      </c>
    </row>
    <row r="50" customFormat="false" ht="15" hidden="false" customHeight="true" outlineLevel="0" collapsed="false">
      <c r="A50" s="12" t="s">
        <v>113</v>
      </c>
      <c r="B50" s="12"/>
      <c r="C50" s="12"/>
      <c r="D50" s="12"/>
      <c r="E50" s="12"/>
      <c r="F50" s="12"/>
      <c r="G50" s="12"/>
      <c r="H50" s="12"/>
    </row>
    <row r="51" customFormat="false" ht="15" hidden="false" customHeight="true" outlineLevel="0" collapsed="false">
      <c r="A51" s="12" t="s">
        <v>89</v>
      </c>
      <c r="B51" s="12"/>
      <c r="C51" s="12"/>
      <c r="D51" s="12"/>
      <c r="E51" s="12"/>
      <c r="F51" s="12"/>
      <c r="G51" s="12"/>
      <c r="H51" s="12"/>
    </row>
    <row r="52" customFormat="false" ht="15" hidden="false" customHeight="true" outlineLevel="0" collapsed="false">
      <c r="A52" s="12" t="s">
        <v>114</v>
      </c>
      <c r="B52" s="12"/>
      <c r="C52" s="12"/>
      <c r="D52" s="12"/>
      <c r="E52" s="12"/>
      <c r="F52" s="12"/>
      <c r="G52" s="12"/>
      <c r="H52" s="12"/>
    </row>
    <row r="53" customFormat="false" ht="15" hidden="false" customHeight="true" outlineLevel="0" collapsed="false">
      <c r="A53" s="12" t="s">
        <v>91</v>
      </c>
      <c r="B53" s="12"/>
      <c r="C53" s="12"/>
      <c r="D53" s="12"/>
      <c r="E53" s="12"/>
      <c r="F53" s="12"/>
      <c r="G53" s="12"/>
      <c r="H53" s="12"/>
    </row>
  </sheetData>
  <mergeCells count="30">
    <mergeCell ref="A1:H1"/>
    <mergeCell ref="A2:H2"/>
    <mergeCell ref="A3:H3"/>
    <mergeCell ref="A5:B5"/>
    <mergeCell ref="C5:H5"/>
    <mergeCell ref="A6:B6"/>
    <mergeCell ref="C6:H6"/>
    <mergeCell ref="A7:B7"/>
    <mergeCell ref="C7:E7"/>
    <mergeCell ref="A8:B8"/>
    <mergeCell ref="C8:H8"/>
    <mergeCell ref="A11:F11"/>
    <mergeCell ref="A16:G16"/>
    <mergeCell ref="A17:F17"/>
    <mergeCell ref="A21:G21"/>
    <mergeCell ref="A22:F22"/>
    <mergeCell ref="A26:G26"/>
    <mergeCell ref="A27:F27"/>
    <mergeCell ref="A30:G30"/>
    <mergeCell ref="A31:F31"/>
    <mergeCell ref="A34:G34"/>
    <mergeCell ref="A35:F35"/>
    <mergeCell ref="A37:G37"/>
    <mergeCell ref="A38:F38"/>
    <mergeCell ref="A42:G42"/>
    <mergeCell ref="A43:G43"/>
    <mergeCell ref="A50:H50"/>
    <mergeCell ref="A51:H51"/>
    <mergeCell ref="A52:H52"/>
    <mergeCell ref="A53:H53"/>
  </mergeCells>
  <printOptions headings="false" gridLines="false" gridLinesSet="true" horizontalCentered="tru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5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4"/>
    <col collapsed="false" customWidth="true" hidden="false" outlineLevel="0" max="3" min="3" style="0" width="7"/>
    <col collapsed="false" customWidth="true" hidden="false" outlineLevel="0" max="4" min="4" style="0" width="8"/>
    <col collapsed="false" customWidth="true" hidden="false" outlineLevel="0" max="5" min="5" style="0" width="7"/>
    <col collapsed="false" customWidth="true" hidden="false" outlineLevel="0" max="6" min="6" style="0" width="8"/>
    <col collapsed="false" customWidth="true" hidden="false" outlineLevel="0" max="7" min="7" style="0" width="15"/>
    <col collapsed="false" customWidth="true" hidden="false" outlineLevel="0" max="8" min="8" style="0" width="17"/>
  </cols>
  <sheetData>
    <row r="1" customFormat="false" ht="17.35" hidden="false" customHeight="true" outlineLevel="0" collapsed="false">
      <c r="A1" s="13" t="s">
        <v>23</v>
      </c>
      <c r="B1" s="13"/>
      <c r="C1" s="13"/>
      <c r="D1" s="13"/>
      <c r="E1" s="13"/>
      <c r="F1" s="13"/>
      <c r="G1" s="13"/>
      <c r="H1" s="13"/>
    </row>
    <row r="2" customFormat="false" ht="15" hidden="false" customHeight="true" outlineLevel="0" collapsed="false">
      <c r="A2" s="14" t="s">
        <v>19</v>
      </c>
      <c r="B2" s="14"/>
      <c r="C2" s="14"/>
      <c r="D2" s="14"/>
      <c r="E2" s="14"/>
      <c r="F2" s="14"/>
      <c r="G2" s="14"/>
      <c r="H2" s="14"/>
    </row>
    <row r="3" customFormat="false" ht="15" hidden="false" customHeight="true" outlineLevel="0" collapsed="false">
      <c r="A3" s="15" t="s">
        <v>115</v>
      </c>
      <c r="B3" s="15"/>
      <c r="C3" s="15"/>
      <c r="D3" s="15"/>
      <c r="E3" s="15"/>
      <c r="F3" s="15"/>
      <c r="G3" s="15"/>
      <c r="H3" s="15"/>
    </row>
    <row r="5" customFormat="false" ht="15" hidden="false" customHeight="false" outlineLevel="0" collapsed="false">
      <c r="A5" s="16" t="s">
        <v>25</v>
      </c>
      <c r="B5" s="16"/>
      <c r="C5" s="17" t="s">
        <v>26</v>
      </c>
      <c r="D5" s="17"/>
      <c r="E5" s="17"/>
      <c r="F5" s="17"/>
      <c r="G5" s="17"/>
      <c r="H5" s="17"/>
    </row>
    <row r="6" customFormat="false" ht="15" hidden="false" customHeight="false" outlineLevel="0" collapsed="false">
      <c r="A6" s="16" t="s">
        <v>27</v>
      </c>
      <c r="B6" s="16"/>
      <c r="C6" s="17" t="s">
        <v>28</v>
      </c>
      <c r="D6" s="17"/>
      <c r="E6" s="17"/>
      <c r="F6" s="17"/>
      <c r="G6" s="17"/>
      <c r="H6" s="17"/>
    </row>
    <row r="7" customFormat="false" ht="15" hidden="false" customHeight="false" outlineLevel="0" collapsed="false">
      <c r="A7" s="16" t="s">
        <v>29</v>
      </c>
      <c r="B7" s="16"/>
      <c r="C7" s="18" t="n">
        <v>300000000</v>
      </c>
      <c r="D7" s="18"/>
      <c r="E7" s="18"/>
    </row>
    <row r="8" customFormat="false" ht="15" hidden="false" customHeight="false" outlineLevel="0" collapsed="false">
      <c r="A8" s="16" t="s">
        <v>30</v>
      </c>
      <c r="B8" s="16"/>
      <c r="C8" s="17" t="s">
        <v>116</v>
      </c>
      <c r="D8" s="17"/>
      <c r="E8" s="17"/>
      <c r="F8" s="17"/>
      <c r="G8" s="17"/>
      <c r="H8" s="17"/>
    </row>
    <row r="10" customFormat="false" ht="23.85" hidden="false" customHeight="false" outlineLevel="0" collapsed="false">
      <c r="A10" s="3" t="s">
        <v>2</v>
      </c>
      <c r="B10" s="3" t="s">
        <v>32</v>
      </c>
      <c r="C10" s="3" t="s">
        <v>33</v>
      </c>
      <c r="D10" s="3" t="s">
        <v>34</v>
      </c>
      <c r="E10" s="3" t="s">
        <v>35</v>
      </c>
      <c r="F10" s="3" t="s">
        <v>36</v>
      </c>
      <c r="G10" s="3" t="s">
        <v>37</v>
      </c>
      <c r="H10" s="3" t="s">
        <v>38</v>
      </c>
    </row>
    <row r="11" customFormat="false" ht="15" hidden="false" customHeight="true" outlineLevel="0" collapsed="false">
      <c r="A11" s="19" t="s">
        <v>39</v>
      </c>
      <c r="B11" s="19"/>
      <c r="C11" s="19"/>
      <c r="D11" s="19"/>
      <c r="E11" s="19"/>
      <c r="F11" s="19"/>
      <c r="G11" s="20"/>
      <c r="H11" s="20"/>
    </row>
    <row r="12" customFormat="false" ht="15" hidden="false" customHeight="false" outlineLevel="0" collapsed="false">
      <c r="A12" s="4" t="n">
        <v>1</v>
      </c>
      <c r="B12" s="5" t="s">
        <v>40</v>
      </c>
      <c r="C12" s="4" t="n">
        <v>1</v>
      </c>
      <c r="D12" s="4" t="s">
        <v>41</v>
      </c>
      <c r="E12" s="4" t="n">
        <v>8</v>
      </c>
      <c r="F12" s="4" t="s">
        <v>42</v>
      </c>
      <c r="G12" s="6" t="n">
        <v>2891000</v>
      </c>
      <c r="H12" s="6" t="n">
        <f aca="false">C12*IF(E12="",1,E12)*G12</f>
        <v>23128000</v>
      </c>
    </row>
    <row r="13" customFormat="false" ht="15" hidden="false" customHeight="false" outlineLevel="0" collapsed="false">
      <c r="A13" s="4" t="n">
        <v>2</v>
      </c>
      <c r="B13" s="5" t="s">
        <v>43</v>
      </c>
      <c r="C13" s="4" t="n">
        <v>2</v>
      </c>
      <c r="D13" s="4" t="s">
        <v>41</v>
      </c>
      <c r="E13" s="4" t="n">
        <v>8</v>
      </c>
      <c r="F13" s="4" t="s">
        <v>42</v>
      </c>
      <c r="G13" s="6" t="n">
        <v>2891000</v>
      </c>
      <c r="H13" s="6" t="n">
        <f aca="false">C13*IF(E13="",1,E13)*G13</f>
        <v>46256000</v>
      </c>
    </row>
    <row r="14" customFormat="false" ht="15" hidden="false" customHeight="false" outlineLevel="0" collapsed="false">
      <c r="A14" s="4" t="n">
        <v>3</v>
      </c>
      <c r="B14" s="5" t="s">
        <v>44</v>
      </c>
      <c r="C14" s="4" t="n">
        <v>1</v>
      </c>
      <c r="D14" s="4" t="s">
        <v>41</v>
      </c>
      <c r="E14" s="4" t="n">
        <v>1</v>
      </c>
      <c r="F14" s="4" t="s">
        <v>45</v>
      </c>
      <c r="G14" s="6" t="n">
        <v>10599000</v>
      </c>
      <c r="H14" s="6" t="n">
        <f aca="false">C14*IF(E14="",1,E14)*G14</f>
        <v>10599000</v>
      </c>
    </row>
    <row r="15" customFormat="false" ht="15" hidden="false" customHeight="false" outlineLevel="0" collapsed="false">
      <c r="A15" s="4" t="n">
        <v>4</v>
      </c>
      <c r="B15" s="5" t="s">
        <v>46</v>
      </c>
      <c r="C15" s="4" t="n">
        <v>2</v>
      </c>
      <c r="D15" s="4" t="s">
        <v>41</v>
      </c>
      <c r="E15" s="4" t="n">
        <v>20</v>
      </c>
      <c r="F15" s="4" t="s">
        <v>47</v>
      </c>
      <c r="G15" s="6" t="n">
        <v>550425</v>
      </c>
      <c r="H15" s="6" t="n">
        <f aca="false">C15*IF(E15="",1,E15)*G15</f>
        <v>22017000</v>
      </c>
    </row>
    <row r="16" customFormat="false" ht="15" hidden="false" customHeight="false" outlineLevel="0" collapsed="false">
      <c r="A16" s="21" t="s">
        <v>48</v>
      </c>
      <c r="B16" s="21"/>
      <c r="C16" s="21"/>
      <c r="D16" s="21"/>
      <c r="E16" s="21"/>
      <c r="F16" s="21"/>
      <c r="G16" s="21"/>
      <c r="H16" s="22" t="n">
        <f aca="false">SUM(H12:H15)</f>
        <v>102000000</v>
      </c>
    </row>
    <row r="17" customFormat="false" ht="15" hidden="false" customHeight="true" outlineLevel="0" collapsed="false">
      <c r="A17" s="19" t="s">
        <v>49</v>
      </c>
      <c r="B17" s="19"/>
      <c r="C17" s="19"/>
      <c r="D17" s="19"/>
      <c r="E17" s="19"/>
      <c r="F17" s="19"/>
      <c r="G17" s="20"/>
      <c r="H17" s="20"/>
    </row>
    <row r="18" customFormat="false" ht="15" hidden="false" customHeight="false" outlineLevel="0" collapsed="false">
      <c r="A18" s="4" t="n">
        <v>1</v>
      </c>
      <c r="B18" s="5" t="s">
        <v>50</v>
      </c>
      <c r="C18" s="4" t="n">
        <v>1</v>
      </c>
      <c r="D18" s="4" t="s">
        <v>51</v>
      </c>
      <c r="E18" s="4"/>
      <c r="F18" s="4" t="s">
        <v>52</v>
      </c>
      <c r="G18" s="6" t="n">
        <v>20000000</v>
      </c>
      <c r="H18" s="6" t="n">
        <f aca="false">C18*IF(E18="",1,E18)*G18</f>
        <v>20000000</v>
      </c>
    </row>
    <row r="19" customFormat="false" ht="15" hidden="false" customHeight="false" outlineLevel="0" collapsed="false">
      <c r="A19" s="4" t="n">
        <v>2</v>
      </c>
      <c r="B19" s="5" t="s">
        <v>53</v>
      </c>
      <c r="C19" s="4" t="n">
        <v>1</v>
      </c>
      <c r="D19" s="4" t="s">
        <v>51</v>
      </c>
      <c r="E19" s="4"/>
      <c r="F19" s="4" t="s">
        <v>52</v>
      </c>
      <c r="G19" s="6" t="n">
        <v>20000000</v>
      </c>
      <c r="H19" s="6" t="n">
        <f aca="false">C19*IF(E19="",1,E19)*G19</f>
        <v>20000000</v>
      </c>
    </row>
    <row r="20" customFormat="false" ht="15" hidden="false" customHeight="false" outlineLevel="0" collapsed="false">
      <c r="A20" s="4" t="n">
        <v>3</v>
      </c>
      <c r="B20" s="5" t="s">
        <v>54</v>
      </c>
      <c r="C20" s="4" t="n">
        <v>1</v>
      </c>
      <c r="D20" s="4" t="s">
        <v>51</v>
      </c>
      <c r="E20" s="4"/>
      <c r="F20" s="4" t="s">
        <v>52</v>
      </c>
      <c r="G20" s="6" t="n">
        <v>20000000</v>
      </c>
      <c r="H20" s="6" t="n">
        <f aca="false">C20*IF(E20="",1,E20)*G20</f>
        <v>20000000</v>
      </c>
    </row>
    <row r="21" customFormat="false" ht="15" hidden="false" customHeight="false" outlineLevel="0" collapsed="false">
      <c r="A21" s="21" t="s">
        <v>55</v>
      </c>
      <c r="B21" s="21"/>
      <c r="C21" s="21"/>
      <c r="D21" s="21"/>
      <c r="E21" s="21"/>
      <c r="F21" s="21"/>
      <c r="G21" s="21"/>
      <c r="H21" s="22" t="n">
        <f aca="false">SUM(H18:H20)</f>
        <v>60000000</v>
      </c>
    </row>
    <row r="22" customFormat="false" ht="15" hidden="false" customHeight="true" outlineLevel="0" collapsed="false">
      <c r="A22" s="19" t="s">
        <v>56</v>
      </c>
      <c r="B22" s="19"/>
      <c r="C22" s="19"/>
      <c r="D22" s="19"/>
      <c r="E22" s="19"/>
      <c r="F22" s="19"/>
      <c r="G22" s="20"/>
      <c r="H22" s="20"/>
    </row>
    <row r="23" customFormat="false" ht="15" hidden="false" customHeight="false" outlineLevel="0" collapsed="false">
      <c r="A23" s="4" t="n">
        <v>1</v>
      </c>
      <c r="B23" s="5" t="s">
        <v>57</v>
      </c>
      <c r="C23" s="4" t="n">
        <v>1</v>
      </c>
      <c r="D23" s="4" t="s">
        <v>47</v>
      </c>
      <c r="E23" s="4"/>
      <c r="F23" s="4" t="s">
        <v>52</v>
      </c>
      <c r="G23" s="6" t="n">
        <v>14000000</v>
      </c>
      <c r="H23" s="6" t="n">
        <f aca="false">C23*IF(E23="",1,E23)*G23</f>
        <v>14000000</v>
      </c>
    </row>
    <row r="24" customFormat="false" ht="15" hidden="false" customHeight="false" outlineLevel="0" collapsed="false">
      <c r="A24" s="4" t="n">
        <v>2</v>
      </c>
      <c r="B24" s="5" t="s">
        <v>58</v>
      </c>
      <c r="C24" s="4" t="n">
        <v>1</v>
      </c>
      <c r="D24" s="4" t="s">
        <v>51</v>
      </c>
      <c r="E24" s="4"/>
      <c r="F24" s="4" t="s">
        <v>52</v>
      </c>
      <c r="G24" s="6" t="n">
        <v>14000000</v>
      </c>
      <c r="H24" s="6" t="n">
        <f aca="false">C24*IF(E24="",1,E24)*G24</f>
        <v>14000000</v>
      </c>
    </row>
    <row r="25" customFormat="false" ht="15" hidden="false" customHeight="false" outlineLevel="0" collapsed="false">
      <c r="A25" s="4" t="n">
        <v>3</v>
      </c>
      <c r="B25" s="5" t="s">
        <v>59</v>
      </c>
      <c r="C25" s="4" t="n">
        <v>1</v>
      </c>
      <c r="D25" s="4" t="s">
        <v>60</v>
      </c>
      <c r="E25" s="4"/>
      <c r="F25" s="4" t="s">
        <v>52</v>
      </c>
      <c r="G25" s="6" t="n">
        <v>14000000</v>
      </c>
      <c r="H25" s="6" t="n">
        <f aca="false">C25*IF(E25="",1,E25)*G25</f>
        <v>14000000</v>
      </c>
    </row>
    <row r="26" customFormat="false" ht="15" hidden="false" customHeight="false" outlineLevel="0" collapsed="false">
      <c r="A26" s="21" t="s">
        <v>61</v>
      </c>
      <c r="B26" s="21"/>
      <c r="C26" s="21"/>
      <c r="D26" s="21"/>
      <c r="E26" s="21"/>
      <c r="F26" s="21"/>
      <c r="G26" s="21"/>
      <c r="H26" s="22" t="n">
        <f aca="false">SUM(H23:H25)</f>
        <v>42000000</v>
      </c>
    </row>
    <row r="27" customFormat="false" ht="15" hidden="false" customHeight="true" outlineLevel="0" collapsed="false">
      <c r="A27" s="19" t="s">
        <v>62</v>
      </c>
      <c r="B27" s="19"/>
      <c r="C27" s="19"/>
      <c r="D27" s="19"/>
      <c r="E27" s="19"/>
      <c r="F27" s="19"/>
      <c r="G27" s="20"/>
      <c r="H27" s="20"/>
    </row>
    <row r="28" customFormat="false" ht="15" hidden="false" customHeight="false" outlineLevel="0" collapsed="false">
      <c r="A28" s="4" t="n">
        <v>1</v>
      </c>
      <c r="B28" s="5" t="s">
        <v>63</v>
      </c>
      <c r="C28" s="4" t="n">
        <v>1</v>
      </c>
      <c r="D28" s="4" t="s">
        <v>47</v>
      </c>
      <c r="E28" s="4"/>
      <c r="F28" s="4" t="s">
        <v>52</v>
      </c>
      <c r="G28" s="6" t="n">
        <v>15000000</v>
      </c>
      <c r="H28" s="6" t="n">
        <f aca="false">C28*IF(E28="",1,E28)*G28</f>
        <v>15000000</v>
      </c>
    </row>
    <row r="29" customFormat="false" ht="15" hidden="false" customHeight="false" outlineLevel="0" collapsed="false">
      <c r="A29" s="4" t="n">
        <v>2</v>
      </c>
      <c r="B29" s="5" t="s">
        <v>64</v>
      </c>
      <c r="C29" s="4" t="n">
        <v>1</v>
      </c>
      <c r="D29" s="4" t="s">
        <v>65</v>
      </c>
      <c r="E29" s="4"/>
      <c r="F29" s="4" t="s">
        <v>52</v>
      </c>
      <c r="G29" s="6" t="n">
        <v>15000000</v>
      </c>
      <c r="H29" s="6" t="n">
        <f aca="false">C29*IF(E29="",1,E29)*G29</f>
        <v>15000000</v>
      </c>
    </row>
    <row r="30" customFormat="false" ht="15" hidden="false" customHeight="false" outlineLevel="0" collapsed="false">
      <c r="A30" s="21" t="s">
        <v>66</v>
      </c>
      <c r="B30" s="21"/>
      <c r="C30" s="21"/>
      <c r="D30" s="21"/>
      <c r="E30" s="21"/>
      <c r="F30" s="21"/>
      <c r="G30" s="21"/>
      <c r="H30" s="22" t="n">
        <f aca="false">SUM(H28:H29)</f>
        <v>30000000</v>
      </c>
    </row>
    <row r="31" customFormat="false" ht="15" hidden="false" customHeight="true" outlineLevel="0" collapsed="false">
      <c r="A31" s="19" t="s">
        <v>67</v>
      </c>
      <c r="B31" s="19"/>
      <c r="C31" s="19"/>
      <c r="D31" s="19"/>
      <c r="E31" s="19"/>
      <c r="F31" s="19"/>
      <c r="G31" s="20"/>
      <c r="H31" s="20"/>
    </row>
    <row r="32" customFormat="false" ht="15" hidden="false" customHeight="false" outlineLevel="0" collapsed="false">
      <c r="A32" s="4" t="n">
        <v>1</v>
      </c>
      <c r="B32" s="5" t="s">
        <v>68</v>
      </c>
      <c r="C32" s="4" t="n">
        <v>1</v>
      </c>
      <c r="D32" s="4" t="s">
        <v>69</v>
      </c>
      <c r="E32" s="4"/>
      <c r="F32" s="4" t="s">
        <v>52</v>
      </c>
      <c r="G32" s="6" t="n">
        <v>9000000</v>
      </c>
      <c r="H32" s="6" t="n">
        <f aca="false">C32*IF(E32="",1,E32)*G32</f>
        <v>9000000</v>
      </c>
    </row>
    <row r="33" customFormat="false" ht="15" hidden="false" customHeight="false" outlineLevel="0" collapsed="false">
      <c r="A33" s="4" t="n">
        <v>2</v>
      </c>
      <c r="B33" s="5" t="s">
        <v>70</v>
      </c>
      <c r="C33" s="4" t="n">
        <v>1</v>
      </c>
      <c r="D33" s="4" t="s">
        <v>45</v>
      </c>
      <c r="E33" s="4"/>
      <c r="F33" s="4" t="s">
        <v>52</v>
      </c>
      <c r="G33" s="6" t="n">
        <v>9000000</v>
      </c>
      <c r="H33" s="6" t="n">
        <f aca="false">C33*IF(E33="",1,E33)*G33</f>
        <v>9000000</v>
      </c>
    </row>
    <row r="34" customFormat="false" ht="15" hidden="false" customHeight="false" outlineLevel="0" collapsed="false">
      <c r="A34" s="21" t="s">
        <v>71</v>
      </c>
      <c r="B34" s="21"/>
      <c r="C34" s="21"/>
      <c r="D34" s="21"/>
      <c r="E34" s="21"/>
      <c r="F34" s="21"/>
      <c r="G34" s="21"/>
      <c r="H34" s="22" t="n">
        <f aca="false">SUM(H32:H33)</f>
        <v>18000000</v>
      </c>
    </row>
    <row r="35" customFormat="false" ht="15" hidden="false" customHeight="true" outlineLevel="0" collapsed="false">
      <c r="A35" s="23" t="s">
        <v>72</v>
      </c>
      <c r="B35" s="23"/>
      <c r="C35" s="23"/>
      <c r="D35" s="23"/>
      <c r="E35" s="23"/>
      <c r="F35" s="23"/>
      <c r="G35" s="24"/>
      <c r="H35" s="24"/>
    </row>
    <row r="36" customFormat="false" ht="15" hidden="false" customHeight="false" outlineLevel="0" collapsed="false">
      <c r="A36" s="4" t="n">
        <v>1</v>
      </c>
      <c r="B36" s="5" t="s">
        <v>73</v>
      </c>
      <c r="C36" s="4" t="n">
        <v>1</v>
      </c>
      <c r="D36" s="4" t="s">
        <v>74</v>
      </c>
      <c r="E36" s="4"/>
      <c r="F36" s="4" t="s">
        <v>52</v>
      </c>
      <c r="G36" s="6" t="n">
        <v>24000000</v>
      </c>
      <c r="H36" s="6" t="n">
        <f aca="false">C36*IF(E36="",1,E36)*G36</f>
        <v>24000000</v>
      </c>
    </row>
    <row r="37" customFormat="false" ht="15" hidden="false" customHeight="false" outlineLevel="0" collapsed="false">
      <c r="A37" s="21" t="s">
        <v>75</v>
      </c>
      <c r="B37" s="21"/>
      <c r="C37" s="21"/>
      <c r="D37" s="21"/>
      <c r="E37" s="21"/>
      <c r="F37" s="21"/>
      <c r="G37" s="21"/>
      <c r="H37" s="22" t="n">
        <f aca="false">SUM(H36:H36)</f>
        <v>24000000</v>
      </c>
    </row>
    <row r="38" customFormat="false" ht="15" hidden="false" customHeight="true" outlineLevel="0" collapsed="false">
      <c r="A38" s="19" t="s">
        <v>76</v>
      </c>
      <c r="B38" s="19"/>
      <c r="C38" s="19"/>
      <c r="D38" s="19"/>
      <c r="E38" s="19"/>
      <c r="F38" s="19"/>
      <c r="G38" s="20"/>
      <c r="H38" s="20"/>
    </row>
    <row r="39" customFormat="false" ht="15" hidden="false" customHeight="false" outlineLevel="0" collapsed="false">
      <c r="A39" s="4" t="n">
        <v>1</v>
      </c>
      <c r="B39" s="5" t="s">
        <v>77</v>
      </c>
      <c r="C39" s="4" t="n">
        <v>1</v>
      </c>
      <c r="D39" s="4" t="s">
        <v>78</v>
      </c>
      <c r="E39" s="4"/>
      <c r="F39" s="4" t="s">
        <v>52</v>
      </c>
      <c r="G39" s="6" t="n">
        <v>8000000</v>
      </c>
      <c r="H39" s="6" t="n">
        <f aca="false">C39*IF(E39="",1,E39)*G39</f>
        <v>8000000</v>
      </c>
    </row>
    <row r="40" customFormat="false" ht="15" hidden="false" customHeight="false" outlineLevel="0" collapsed="false">
      <c r="A40" s="4" t="n">
        <v>2</v>
      </c>
      <c r="B40" s="5" t="s">
        <v>79</v>
      </c>
      <c r="C40" s="4" t="n">
        <v>1</v>
      </c>
      <c r="D40" s="4" t="s">
        <v>80</v>
      </c>
      <c r="E40" s="4"/>
      <c r="F40" s="4" t="s">
        <v>52</v>
      </c>
      <c r="G40" s="6" t="n">
        <v>8000000</v>
      </c>
      <c r="H40" s="6" t="n">
        <f aca="false">C40*IF(E40="",1,E40)*G40</f>
        <v>8000000</v>
      </c>
    </row>
    <row r="41" customFormat="false" ht="15" hidden="false" customHeight="false" outlineLevel="0" collapsed="false">
      <c r="A41" s="4" t="n">
        <v>3</v>
      </c>
      <c r="B41" s="5" t="s">
        <v>81</v>
      </c>
      <c r="C41" s="4" t="n">
        <v>1</v>
      </c>
      <c r="D41" s="4" t="s">
        <v>51</v>
      </c>
      <c r="E41" s="4"/>
      <c r="F41" s="4" t="s">
        <v>52</v>
      </c>
      <c r="G41" s="6" t="n">
        <v>8000000</v>
      </c>
      <c r="H41" s="6" t="n">
        <f aca="false">C41*IF(E41="",1,E41)*G41</f>
        <v>8000000</v>
      </c>
    </row>
    <row r="42" customFormat="false" ht="15" hidden="false" customHeight="false" outlineLevel="0" collapsed="false">
      <c r="A42" s="21" t="s">
        <v>82</v>
      </c>
      <c r="B42" s="21"/>
      <c r="C42" s="21"/>
      <c r="D42" s="21"/>
      <c r="E42" s="21"/>
      <c r="F42" s="21"/>
      <c r="G42" s="21"/>
      <c r="H42" s="22" t="n">
        <f aca="false">SUM(H39:H41)</f>
        <v>24000000</v>
      </c>
    </row>
    <row r="43" customFormat="false" ht="15" hidden="false" customHeight="false" outlineLevel="0" collapsed="false">
      <c r="A43" s="25" t="s">
        <v>83</v>
      </c>
      <c r="B43" s="25"/>
      <c r="C43" s="25"/>
      <c r="D43" s="25"/>
      <c r="E43" s="25"/>
      <c r="F43" s="25"/>
      <c r="G43" s="25"/>
      <c r="H43" s="26" t="n">
        <f aca="false">H16+H21+H26+H30+H34+H37+H42</f>
        <v>300000000</v>
      </c>
    </row>
    <row r="45" customFormat="false" ht="15" hidden="false" customHeight="false" outlineLevel="0" collapsed="false">
      <c r="B45" s="27" t="s">
        <v>84</v>
      </c>
    </row>
    <row r="46" customFormat="false" ht="15" hidden="false" customHeight="false" outlineLevel="0" collapsed="false">
      <c r="B46" s="28" t="s">
        <v>85</v>
      </c>
      <c r="G46" s="29" t="n">
        <f aca="false">H16+H21+H26+H30+H34+H42</f>
        <v>276000000</v>
      </c>
      <c r="H46" s="30" t="n">
        <f aca="false">IFERROR(G46/H43,"")</f>
        <v>0.92</v>
      </c>
    </row>
    <row r="47" customFormat="false" ht="15" hidden="false" customHeight="false" outlineLevel="0" collapsed="false">
      <c r="B47" s="28" t="s">
        <v>86</v>
      </c>
      <c r="G47" s="29" t="n">
        <f aca="false">H37</f>
        <v>24000000</v>
      </c>
      <c r="H47" s="30" t="n">
        <f aca="false">IFERROR(G47/H43,"")</f>
        <v>0.08</v>
      </c>
    </row>
    <row r="49" customFormat="false" ht="15" hidden="false" customHeight="false" outlineLevel="0" collapsed="false">
      <c r="A49" s="31" t="s">
        <v>87</v>
      </c>
    </row>
    <row r="50" customFormat="false" ht="15" hidden="false" customHeight="true" outlineLevel="0" collapsed="false">
      <c r="A50" s="12" t="s">
        <v>117</v>
      </c>
      <c r="B50" s="12"/>
      <c r="C50" s="12"/>
      <c r="D50" s="12"/>
      <c r="E50" s="12"/>
      <c r="F50" s="12"/>
      <c r="G50" s="12"/>
      <c r="H50" s="12"/>
    </row>
    <row r="51" customFormat="false" ht="15" hidden="false" customHeight="true" outlineLevel="0" collapsed="false">
      <c r="A51" s="12" t="s">
        <v>118</v>
      </c>
      <c r="B51" s="12"/>
      <c r="C51" s="12"/>
      <c r="D51" s="12"/>
      <c r="E51" s="12"/>
      <c r="F51" s="12"/>
      <c r="G51" s="12"/>
      <c r="H51" s="12"/>
    </row>
    <row r="52" customFormat="false" ht="15" hidden="false" customHeight="true" outlineLevel="0" collapsed="false">
      <c r="A52" s="12" t="s">
        <v>119</v>
      </c>
      <c r="B52" s="12"/>
      <c r="C52" s="12"/>
      <c r="D52" s="12"/>
      <c r="E52" s="12"/>
      <c r="F52" s="12"/>
      <c r="G52" s="12"/>
      <c r="H52" s="12"/>
    </row>
    <row r="53" customFormat="false" ht="15" hidden="false" customHeight="true" outlineLevel="0" collapsed="false">
      <c r="A53" s="12" t="s">
        <v>91</v>
      </c>
      <c r="B53" s="12"/>
      <c r="C53" s="12"/>
      <c r="D53" s="12"/>
      <c r="E53" s="12"/>
      <c r="F53" s="12"/>
      <c r="G53" s="12"/>
      <c r="H53" s="12"/>
    </row>
  </sheetData>
  <mergeCells count="30">
    <mergeCell ref="A1:H1"/>
    <mergeCell ref="A2:H2"/>
    <mergeCell ref="A3:H3"/>
    <mergeCell ref="A5:B5"/>
    <mergeCell ref="C5:H5"/>
    <mergeCell ref="A6:B6"/>
    <mergeCell ref="C6:H6"/>
    <mergeCell ref="A7:B7"/>
    <mergeCell ref="C7:E7"/>
    <mergeCell ref="A8:B8"/>
    <mergeCell ref="C8:H8"/>
    <mergeCell ref="A11:F11"/>
    <mergeCell ref="A16:G16"/>
    <mergeCell ref="A17:F17"/>
    <mergeCell ref="A21:G21"/>
    <mergeCell ref="A22:F22"/>
    <mergeCell ref="A26:G26"/>
    <mergeCell ref="A27:F27"/>
    <mergeCell ref="A30:G30"/>
    <mergeCell ref="A31:F31"/>
    <mergeCell ref="A34:G34"/>
    <mergeCell ref="A35:F35"/>
    <mergeCell ref="A37:G37"/>
    <mergeCell ref="A38:F38"/>
    <mergeCell ref="A42:G42"/>
    <mergeCell ref="A43:G43"/>
    <mergeCell ref="A50:H50"/>
    <mergeCell ref="A51:H51"/>
    <mergeCell ref="A52:H52"/>
    <mergeCell ref="A53:H53"/>
  </mergeCells>
  <printOptions headings="false" gridLines="false" gridLinesSet="true" horizontalCentered="tru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4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4"/>
    <col collapsed="false" customWidth="true" hidden="false" outlineLevel="0" max="3" min="3" style="0" width="7"/>
    <col collapsed="false" customWidth="true" hidden="false" outlineLevel="0" max="4" min="4" style="0" width="8"/>
    <col collapsed="false" customWidth="true" hidden="false" outlineLevel="0" max="5" min="5" style="0" width="7"/>
    <col collapsed="false" customWidth="true" hidden="false" outlineLevel="0" max="6" min="6" style="0" width="8"/>
    <col collapsed="false" customWidth="true" hidden="false" outlineLevel="0" max="7" min="7" style="0" width="15"/>
    <col collapsed="false" customWidth="true" hidden="false" outlineLevel="0" max="8" min="8" style="0" width="17"/>
  </cols>
  <sheetData>
    <row r="1" customFormat="false" ht="17.35" hidden="false" customHeight="true" outlineLevel="0" collapsed="false">
      <c r="A1" s="13" t="s">
        <v>23</v>
      </c>
      <c r="B1" s="13"/>
      <c r="C1" s="13"/>
      <c r="D1" s="13"/>
      <c r="E1" s="13"/>
      <c r="F1" s="13"/>
      <c r="G1" s="13"/>
      <c r="H1" s="13"/>
    </row>
    <row r="2" customFormat="false" ht="15" hidden="false" customHeight="true" outlineLevel="0" collapsed="false">
      <c r="A2" s="14" t="s">
        <v>20</v>
      </c>
      <c r="B2" s="14"/>
      <c r="C2" s="14"/>
      <c r="D2" s="14"/>
      <c r="E2" s="14"/>
      <c r="F2" s="14"/>
      <c r="G2" s="14"/>
      <c r="H2" s="14"/>
    </row>
    <row r="3" customFormat="false" ht="15" hidden="false" customHeight="true" outlineLevel="0" collapsed="false">
      <c r="A3" s="15" t="s">
        <v>120</v>
      </c>
      <c r="B3" s="15"/>
      <c r="C3" s="15"/>
      <c r="D3" s="15"/>
      <c r="E3" s="15"/>
      <c r="F3" s="15"/>
      <c r="G3" s="15"/>
      <c r="H3" s="15"/>
    </row>
    <row r="5" customFormat="false" ht="15" hidden="false" customHeight="false" outlineLevel="0" collapsed="false">
      <c r="A5" s="16" t="s">
        <v>25</v>
      </c>
      <c r="B5" s="16"/>
      <c r="C5" s="17" t="s">
        <v>26</v>
      </c>
      <c r="D5" s="17"/>
      <c r="E5" s="17"/>
      <c r="F5" s="17"/>
      <c r="G5" s="17"/>
      <c r="H5" s="17"/>
    </row>
    <row r="6" customFormat="false" ht="15" hidden="false" customHeight="false" outlineLevel="0" collapsed="false">
      <c r="A6" s="16" t="s">
        <v>27</v>
      </c>
      <c r="B6" s="16"/>
      <c r="C6" s="17"/>
      <c r="D6" s="17"/>
      <c r="E6" s="17"/>
      <c r="F6" s="17"/>
      <c r="G6" s="17"/>
      <c r="H6" s="17"/>
    </row>
    <row r="7" customFormat="false" ht="15" hidden="false" customHeight="false" outlineLevel="0" collapsed="false">
      <c r="A7" s="16" t="s">
        <v>29</v>
      </c>
      <c r="B7" s="16"/>
      <c r="C7" s="18" t="n">
        <v>100000000</v>
      </c>
      <c r="D7" s="18"/>
      <c r="E7" s="18"/>
    </row>
    <row r="8" customFormat="false" ht="15" hidden="false" customHeight="false" outlineLevel="0" collapsed="false">
      <c r="A8" s="16" t="s">
        <v>30</v>
      </c>
      <c r="B8" s="16"/>
      <c r="C8" s="17" t="s">
        <v>121</v>
      </c>
      <c r="D8" s="17"/>
      <c r="E8" s="17"/>
      <c r="F8" s="17"/>
      <c r="G8" s="17"/>
      <c r="H8" s="17"/>
    </row>
    <row r="10" customFormat="false" ht="23.85" hidden="false" customHeight="false" outlineLevel="0" collapsed="false">
      <c r="A10" s="3" t="s">
        <v>2</v>
      </c>
      <c r="B10" s="3" t="s">
        <v>32</v>
      </c>
      <c r="C10" s="3" t="s">
        <v>33</v>
      </c>
      <c r="D10" s="3" t="s">
        <v>34</v>
      </c>
      <c r="E10" s="3" t="s">
        <v>35</v>
      </c>
      <c r="F10" s="3" t="s">
        <v>36</v>
      </c>
      <c r="G10" s="3" t="s">
        <v>37</v>
      </c>
      <c r="H10" s="3" t="s">
        <v>38</v>
      </c>
    </row>
    <row r="11" customFormat="false" ht="15" hidden="false" customHeight="true" outlineLevel="0" collapsed="false">
      <c r="A11" s="19" t="s">
        <v>39</v>
      </c>
      <c r="B11" s="19"/>
      <c r="C11" s="19"/>
      <c r="D11" s="19"/>
      <c r="E11" s="19"/>
      <c r="F11" s="19"/>
      <c r="G11" s="20"/>
      <c r="H11" s="20"/>
    </row>
    <row r="12" customFormat="false" ht="15" hidden="false" customHeight="false" outlineLevel="0" collapsed="false">
      <c r="A12" s="32"/>
      <c r="B12" s="33"/>
      <c r="C12" s="32"/>
      <c r="D12" s="32"/>
      <c r="E12" s="32"/>
      <c r="F12" s="32"/>
      <c r="G12" s="29"/>
      <c r="H12" s="29" t="str">
        <f aca="false">IF(AND(C12&lt;&gt;"",G12&lt;&gt;""),C12*IF(E12="",1,E12)*G12,"")</f>
        <v/>
      </c>
    </row>
    <row r="13" customFormat="false" ht="15" hidden="false" customHeight="false" outlineLevel="0" collapsed="false">
      <c r="A13" s="32"/>
      <c r="B13" s="33"/>
      <c r="C13" s="32"/>
      <c r="D13" s="32"/>
      <c r="E13" s="32"/>
      <c r="F13" s="32"/>
      <c r="G13" s="29"/>
      <c r="H13" s="29" t="str">
        <f aca="false">IF(AND(C13&lt;&gt;"",G13&lt;&gt;""),C13*IF(E13="",1,E13)*G13,"")</f>
        <v/>
      </c>
    </row>
    <row r="14" customFormat="false" ht="15" hidden="false" customHeight="false" outlineLevel="0" collapsed="false">
      <c r="A14" s="21" t="s">
        <v>48</v>
      </c>
      <c r="B14" s="21"/>
      <c r="C14" s="21"/>
      <c r="D14" s="21"/>
      <c r="E14" s="21"/>
      <c r="F14" s="21"/>
      <c r="G14" s="21"/>
      <c r="H14" s="22" t="n">
        <f aca="false">SUM(H12:H13)</f>
        <v>0</v>
      </c>
    </row>
    <row r="15" customFormat="false" ht="15" hidden="false" customHeight="true" outlineLevel="0" collapsed="false">
      <c r="A15" s="19" t="s">
        <v>49</v>
      </c>
      <c r="B15" s="19"/>
      <c r="C15" s="19"/>
      <c r="D15" s="19"/>
      <c r="E15" s="19"/>
      <c r="F15" s="19"/>
      <c r="G15" s="20"/>
      <c r="H15" s="20"/>
    </row>
    <row r="16" customFormat="false" ht="15" hidden="false" customHeight="false" outlineLevel="0" collapsed="false">
      <c r="A16" s="32"/>
      <c r="B16" s="33"/>
      <c r="C16" s="32"/>
      <c r="D16" s="32"/>
      <c r="E16" s="32"/>
      <c r="F16" s="32"/>
      <c r="G16" s="29"/>
      <c r="H16" s="29" t="str">
        <f aca="false">IF(AND(C16&lt;&gt;"",G16&lt;&gt;""),C16*IF(E16="",1,E16)*G16,"")</f>
        <v/>
      </c>
    </row>
    <row r="17" customFormat="false" ht="15" hidden="false" customHeight="false" outlineLevel="0" collapsed="false">
      <c r="A17" s="32"/>
      <c r="B17" s="33"/>
      <c r="C17" s="32"/>
      <c r="D17" s="32"/>
      <c r="E17" s="32"/>
      <c r="F17" s="32"/>
      <c r="G17" s="29"/>
      <c r="H17" s="29" t="str">
        <f aca="false">IF(AND(C17&lt;&gt;"",G17&lt;&gt;""),C17*IF(E17="",1,E17)*G17,"")</f>
        <v/>
      </c>
    </row>
    <row r="18" customFormat="false" ht="15" hidden="false" customHeight="false" outlineLevel="0" collapsed="false">
      <c r="A18" s="21" t="s">
        <v>55</v>
      </c>
      <c r="B18" s="21"/>
      <c r="C18" s="21"/>
      <c r="D18" s="21"/>
      <c r="E18" s="21"/>
      <c r="F18" s="21"/>
      <c r="G18" s="21"/>
      <c r="H18" s="22" t="n">
        <f aca="false">SUM(H16:H17)</f>
        <v>0</v>
      </c>
    </row>
    <row r="19" customFormat="false" ht="15" hidden="false" customHeight="true" outlineLevel="0" collapsed="false">
      <c r="A19" s="19" t="s">
        <v>56</v>
      </c>
      <c r="B19" s="19"/>
      <c r="C19" s="19"/>
      <c r="D19" s="19"/>
      <c r="E19" s="19"/>
      <c r="F19" s="19"/>
      <c r="G19" s="20"/>
      <c r="H19" s="20"/>
    </row>
    <row r="20" customFormat="false" ht="15" hidden="false" customHeight="false" outlineLevel="0" collapsed="false">
      <c r="A20" s="32"/>
      <c r="B20" s="33"/>
      <c r="C20" s="32"/>
      <c r="D20" s="32"/>
      <c r="E20" s="32"/>
      <c r="F20" s="32"/>
      <c r="G20" s="29"/>
      <c r="H20" s="29" t="str">
        <f aca="false">IF(AND(C20&lt;&gt;"",G20&lt;&gt;""),C20*IF(E20="",1,E20)*G20,"")</f>
        <v/>
      </c>
    </row>
    <row r="21" customFormat="false" ht="15" hidden="false" customHeight="false" outlineLevel="0" collapsed="false">
      <c r="A21" s="32"/>
      <c r="B21" s="33"/>
      <c r="C21" s="32"/>
      <c r="D21" s="32"/>
      <c r="E21" s="32"/>
      <c r="F21" s="32"/>
      <c r="G21" s="29"/>
      <c r="H21" s="29" t="str">
        <f aca="false">IF(AND(C21&lt;&gt;"",G21&lt;&gt;""),C21*IF(E21="",1,E21)*G21,"")</f>
        <v/>
      </c>
    </row>
    <row r="22" customFormat="false" ht="15" hidden="false" customHeight="false" outlineLevel="0" collapsed="false">
      <c r="A22" s="21" t="s">
        <v>61</v>
      </c>
      <c r="B22" s="21"/>
      <c r="C22" s="21"/>
      <c r="D22" s="21"/>
      <c r="E22" s="21"/>
      <c r="F22" s="21"/>
      <c r="G22" s="21"/>
      <c r="H22" s="22" t="n">
        <f aca="false">SUM(H20:H21)</f>
        <v>0</v>
      </c>
    </row>
    <row r="23" customFormat="false" ht="15" hidden="false" customHeight="true" outlineLevel="0" collapsed="false">
      <c r="A23" s="19" t="s">
        <v>62</v>
      </c>
      <c r="B23" s="19"/>
      <c r="C23" s="19"/>
      <c r="D23" s="19"/>
      <c r="E23" s="19"/>
      <c r="F23" s="19"/>
      <c r="G23" s="20"/>
      <c r="H23" s="20"/>
    </row>
    <row r="24" customFormat="false" ht="15" hidden="false" customHeight="false" outlineLevel="0" collapsed="false">
      <c r="A24" s="32"/>
      <c r="B24" s="33"/>
      <c r="C24" s="32"/>
      <c r="D24" s="32"/>
      <c r="E24" s="32"/>
      <c r="F24" s="32"/>
      <c r="G24" s="29"/>
      <c r="H24" s="29" t="str">
        <f aca="false">IF(AND(C24&lt;&gt;"",G24&lt;&gt;""),C24*IF(E24="",1,E24)*G24,"")</f>
        <v/>
      </c>
    </row>
    <row r="25" customFormat="false" ht="15" hidden="false" customHeight="false" outlineLevel="0" collapsed="false">
      <c r="A25" s="32"/>
      <c r="B25" s="33"/>
      <c r="C25" s="32"/>
      <c r="D25" s="32"/>
      <c r="E25" s="32"/>
      <c r="F25" s="32"/>
      <c r="G25" s="29"/>
      <c r="H25" s="29" t="str">
        <f aca="false">IF(AND(C25&lt;&gt;"",G25&lt;&gt;""),C25*IF(E25="",1,E25)*G25,"")</f>
        <v/>
      </c>
    </row>
    <row r="26" customFormat="false" ht="15" hidden="false" customHeight="false" outlineLevel="0" collapsed="false">
      <c r="A26" s="21" t="s">
        <v>66</v>
      </c>
      <c r="B26" s="21"/>
      <c r="C26" s="21"/>
      <c r="D26" s="21"/>
      <c r="E26" s="21"/>
      <c r="F26" s="21"/>
      <c r="G26" s="21"/>
      <c r="H26" s="22" t="n">
        <f aca="false">SUM(H24:H25)</f>
        <v>0</v>
      </c>
    </row>
    <row r="27" customFormat="false" ht="15" hidden="false" customHeight="true" outlineLevel="0" collapsed="false">
      <c r="A27" s="19" t="s">
        <v>67</v>
      </c>
      <c r="B27" s="19"/>
      <c r="C27" s="19"/>
      <c r="D27" s="19"/>
      <c r="E27" s="19"/>
      <c r="F27" s="19"/>
      <c r="G27" s="20"/>
      <c r="H27" s="20"/>
    </row>
    <row r="28" customFormat="false" ht="15" hidden="false" customHeight="false" outlineLevel="0" collapsed="false">
      <c r="A28" s="32"/>
      <c r="B28" s="33"/>
      <c r="C28" s="32"/>
      <c r="D28" s="32"/>
      <c r="E28" s="32"/>
      <c r="F28" s="32"/>
      <c r="G28" s="29"/>
      <c r="H28" s="29" t="str">
        <f aca="false">IF(AND(C28&lt;&gt;"",G28&lt;&gt;""),C28*IF(E28="",1,E28)*G28,"")</f>
        <v/>
      </c>
    </row>
    <row r="29" customFormat="false" ht="15" hidden="false" customHeight="false" outlineLevel="0" collapsed="false">
      <c r="A29" s="32"/>
      <c r="B29" s="33"/>
      <c r="C29" s="32"/>
      <c r="D29" s="32"/>
      <c r="E29" s="32"/>
      <c r="F29" s="32"/>
      <c r="G29" s="29"/>
      <c r="H29" s="29" t="str">
        <f aca="false">IF(AND(C29&lt;&gt;"",G29&lt;&gt;""),C29*IF(E29="",1,E29)*G29,"")</f>
        <v/>
      </c>
    </row>
    <row r="30" customFormat="false" ht="15" hidden="false" customHeight="false" outlineLevel="0" collapsed="false">
      <c r="A30" s="21" t="s">
        <v>71</v>
      </c>
      <c r="B30" s="21"/>
      <c r="C30" s="21"/>
      <c r="D30" s="21"/>
      <c r="E30" s="21"/>
      <c r="F30" s="21"/>
      <c r="G30" s="21"/>
      <c r="H30" s="22" t="n">
        <f aca="false">SUM(H28:H29)</f>
        <v>0</v>
      </c>
    </row>
    <row r="31" customFormat="false" ht="15" hidden="false" customHeight="true" outlineLevel="0" collapsed="false">
      <c r="A31" s="23" t="s">
        <v>72</v>
      </c>
      <c r="B31" s="23"/>
      <c r="C31" s="23"/>
      <c r="D31" s="23"/>
      <c r="E31" s="23"/>
      <c r="F31" s="23"/>
      <c r="G31" s="24"/>
      <c r="H31" s="24"/>
    </row>
    <row r="32" customFormat="false" ht="15" hidden="false" customHeight="false" outlineLevel="0" collapsed="false">
      <c r="A32" s="32"/>
      <c r="B32" s="33"/>
      <c r="C32" s="32"/>
      <c r="D32" s="32"/>
      <c r="E32" s="32"/>
      <c r="F32" s="32"/>
      <c r="G32" s="29"/>
      <c r="H32" s="29" t="str">
        <f aca="false">IF(AND(C32&lt;&gt;"",G32&lt;&gt;""),C32*IF(E32="",1,E32)*G32,"")</f>
        <v/>
      </c>
    </row>
    <row r="33" customFormat="false" ht="15" hidden="false" customHeight="false" outlineLevel="0" collapsed="false">
      <c r="A33" s="32"/>
      <c r="B33" s="33"/>
      <c r="C33" s="32"/>
      <c r="D33" s="32"/>
      <c r="E33" s="32"/>
      <c r="F33" s="32"/>
      <c r="G33" s="29"/>
      <c r="H33" s="29" t="str">
        <f aca="false">IF(AND(C33&lt;&gt;"",G33&lt;&gt;""),C33*IF(E33="",1,E33)*G33,"")</f>
        <v/>
      </c>
    </row>
    <row r="34" customFormat="false" ht="15" hidden="false" customHeight="false" outlineLevel="0" collapsed="false">
      <c r="A34" s="21" t="s">
        <v>75</v>
      </c>
      <c r="B34" s="21"/>
      <c r="C34" s="21"/>
      <c r="D34" s="21"/>
      <c r="E34" s="21"/>
      <c r="F34" s="21"/>
      <c r="G34" s="21"/>
      <c r="H34" s="22" t="n">
        <f aca="false">SUM(H32:H33)</f>
        <v>0</v>
      </c>
    </row>
    <row r="35" customFormat="false" ht="15" hidden="false" customHeight="true" outlineLevel="0" collapsed="false">
      <c r="A35" s="19" t="s">
        <v>76</v>
      </c>
      <c r="B35" s="19"/>
      <c r="C35" s="19"/>
      <c r="D35" s="19"/>
      <c r="E35" s="19"/>
      <c r="F35" s="19"/>
      <c r="G35" s="20"/>
      <c r="H35" s="20"/>
    </row>
    <row r="36" customFormat="false" ht="15" hidden="false" customHeight="false" outlineLevel="0" collapsed="false">
      <c r="A36" s="32"/>
      <c r="B36" s="33"/>
      <c r="C36" s="32"/>
      <c r="D36" s="32"/>
      <c r="E36" s="32"/>
      <c r="F36" s="32"/>
      <c r="G36" s="29"/>
      <c r="H36" s="29" t="str">
        <f aca="false">IF(AND(C36&lt;&gt;"",G36&lt;&gt;""),C36*IF(E36="",1,E36)*G36,"")</f>
        <v/>
      </c>
    </row>
    <row r="37" customFormat="false" ht="15" hidden="false" customHeight="false" outlineLevel="0" collapsed="false">
      <c r="A37" s="32"/>
      <c r="B37" s="33"/>
      <c r="C37" s="32"/>
      <c r="D37" s="32"/>
      <c r="E37" s="32"/>
      <c r="F37" s="32"/>
      <c r="G37" s="29"/>
      <c r="H37" s="29" t="str">
        <f aca="false">IF(AND(C37&lt;&gt;"",G37&lt;&gt;""),C37*IF(E37="",1,E37)*G37,"")</f>
        <v/>
      </c>
    </row>
    <row r="38" customFormat="false" ht="15" hidden="false" customHeight="false" outlineLevel="0" collapsed="false">
      <c r="A38" s="21" t="s">
        <v>82</v>
      </c>
      <c r="B38" s="21"/>
      <c r="C38" s="21"/>
      <c r="D38" s="21"/>
      <c r="E38" s="21"/>
      <c r="F38" s="21"/>
      <c r="G38" s="21"/>
      <c r="H38" s="22" t="n">
        <f aca="false">SUM(H36:H37)</f>
        <v>0</v>
      </c>
    </row>
    <row r="39" customFormat="false" ht="15" hidden="false" customHeight="false" outlineLevel="0" collapsed="false">
      <c r="A39" s="25" t="s">
        <v>83</v>
      </c>
      <c r="B39" s="25"/>
      <c r="C39" s="25"/>
      <c r="D39" s="25"/>
      <c r="E39" s="25"/>
      <c r="F39" s="25"/>
      <c r="G39" s="25"/>
      <c r="H39" s="26" t="n">
        <f aca="false">H14+H18+H22+H26+H30+H34+H38</f>
        <v>0</v>
      </c>
    </row>
    <row r="41" customFormat="false" ht="15" hidden="false" customHeight="false" outlineLevel="0" collapsed="false">
      <c r="B41" s="27" t="s">
        <v>84</v>
      </c>
    </row>
    <row r="42" customFormat="false" ht="15" hidden="false" customHeight="false" outlineLevel="0" collapsed="false">
      <c r="B42" s="28" t="s">
        <v>85</v>
      </c>
      <c r="G42" s="29" t="n">
        <f aca="false">H14+H18+H22+H26+H30+H38</f>
        <v>0</v>
      </c>
      <c r="H42" s="30" t="str">
        <f aca="false">IFERROR(G42/H39,"")</f>
        <v/>
      </c>
    </row>
    <row r="43" customFormat="false" ht="15" hidden="false" customHeight="false" outlineLevel="0" collapsed="false">
      <c r="B43" s="28" t="s">
        <v>86</v>
      </c>
      <c r="G43" s="29" t="n">
        <f aca="false">H34</f>
        <v>0</v>
      </c>
      <c r="H43" s="30" t="str">
        <f aca="false">IFERROR(G43/H39,"")</f>
        <v/>
      </c>
    </row>
    <row r="45" customFormat="false" ht="15" hidden="false" customHeight="false" outlineLevel="0" collapsed="false">
      <c r="A45" s="31" t="s">
        <v>87</v>
      </c>
    </row>
    <row r="46" customFormat="false" ht="19.4" hidden="false" customHeight="true" outlineLevel="0" collapsed="false">
      <c r="A46" s="12" t="s">
        <v>122</v>
      </c>
      <c r="B46" s="12"/>
      <c r="C46" s="12"/>
      <c r="D46" s="12"/>
      <c r="E46" s="12"/>
      <c r="F46" s="12"/>
      <c r="G46" s="12"/>
      <c r="H46" s="12"/>
    </row>
    <row r="47" customFormat="false" ht="15" hidden="false" customHeight="true" outlineLevel="0" collapsed="false">
      <c r="A47" s="12" t="s">
        <v>89</v>
      </c>
      <c r="B47" s="12"/>
      <c r="C47" s="12"/>
      <c r="D47" s="12"/>
      <c r="E47" s="12"/>
      <c r="F47" s="12"/>
      <c r="G47" s="12"/>
      <c r="H47" s="12"/>
    </row>
    <row r="48" customFormat="false" ht="15" hidden="false" customHeight="true" outlineLevel="0" collapsed="false">
      <c r="A48" s="12" t="s">
        <v>98</v>
      </c>
      <c r="B48" s="12"/>
      <c r="C48" s="12"/>
      <c r="D48" s="12"/>
      <c r="E48" s="12"/>
      <c r="F48" s="12"/>
      <c r="G48" s="12"/>
      <c r="H48" s="12"/>
    </row>
    <row r="49" customFormat="false" ht="15" hidden="false" customHeight="true" outlineLevel="0" collapsed="false">
      <c r="A49" s="12" t="s">
        <v>91</v>
      </c>
      <c r="B49" s="12"/>
      <c r="C49" s="12"/>
      <c r="D49" s="12"/>
      <c r="E49" s="12"/>
      <c r="F49" s="12"/>
      <c r="G49" s="12"/>
      <c r="H49" s="12"/>
    </row>
  </sheetData>
  <mergeCells count="30">
    <mergeCell ref="A1:H1"/>
    <mergeCell ref="A2:H2"/>
    <mergeCell ref="A3:H3"/>
    <mergeCell ref="A5:B5"/>
    <mergeCell ref="C5:H5"/>
    <mergeCell ref="A6:B6"/>
    <mergeCell ref="C6:H6"/>
    <mergeCell ref="A7:B7"/>
    <mergeCell ref="C7:E7"/>
    <mergeCell ref="A8:B8"/>
    <mergeCell ref="C8:H8"/>
    <mergeCell ref="A11:F11"/>
    <mergeCell ref="A14:G14"/>
    <mergeCell ref="A15:F15"/>
    <mergeCell ref="A18:G18"/>
    <mergeCell ref="A19:F19"/>
    <mergeCell ref="A22:G22"/>
    <mergeCell ref="A23:F23"/>
    <mergeCell ref="A26:G26"/>
    <mergeCell ref="A27:F27"/>
    <mergeCell ref="A30:G30"/>
    <mergeCell ref="A31:F31"/>
    <mergeCell ref="A34:G34"/>
    <mergeCell ref="A35:F35"/>
    <mergeCell ref="A38:G38"/>
    <mergeCell ref="A39:G39"/>
    <mergeCell ref="A46:H46"/>
    <mergeCell ref="A47:H47"/>
    <mergeCell ref="A48:H48"/>
    <mergeCell ref="A49:H49"/>
  </mergeCells>
  <printOptions headings="false" gridLines="false" gridLinesSet="true" horizontalCentered="tru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2026-07-28T16:39:37Z</dcterms:created>
  <dc:creator>openpyxl</dc:creator>
  <dc:description/>
  <dc:language>en-US</dc:language>
  <cp:lastModifiedBy/>
  <dcterms:modified xsi:type="dcterms:W3CDTF">2026-07-28T16:39:38Z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